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rollment" sheetId="2" state="visible" r:id="rId2"/>
    <sheet xmlns:r="http://schemas.openxmlformats.org/officeDocument/2006/relationships" name="Post-surgical" sheetId="3" state="visible" r:id="rId3"/>
    <sheet xmlns:r="http://schemas.openxmlformats.org/officeDocument/2006/relationships" name="Blood samples" sheetId="4" state="visible" r:id="rId4"/>
    <sheet xmlns:r="http://schemas.openxmlformats.org/officeDocument/2006/relationships" name="Data queries" sheetId="5" state="visible" r:id="rId5"/>
    <sheet xmlns:r="http://schemas.openxmlformats.org/officeDocument/2006/relationships" name="Definitions" sheetId="6" state="visible" r:id="rId6"/>
  </sheets>
  <definedNames/>
  <calcPr calcId="124519" fullCalcOnLoad="1"/>
</workbook>
</file>

<file path=xl/styles.xml><?xml version="1.0" encoding="utf-8"?>
<styleSheet xmlns="http://schemas.openxmlformats.org/spreadsheetml/2006/main">
  <numFmts count="2">
    <numFmt numFmtId="164" formatCode="[=0]0%;[&lt;0.005]&quot;&lt;1%&quot;;0%"/>
    <numFmt numFmtId="165" formatCode="0.0"/>
  </numFmts>
  <fonts count="13">
    <font>
      <name val="Calibri"/>
      <family val="2"/>
      <color theme="1"/>
      <sz val="11"/>
      <scheme val="minor"/>
    </font>
    <font>
      <name val="Arial"/>
      <b val="1"/>
      <color rgb="00184F95"/>
      <sz val="16"/>
    </font>
    <font>
      <name val="Arial"/>
      <color rgb="0052514E"/>
      <sz val="9"/>
    </font>
    <font>
      <name val="Arial"/>
      <b val="1"/>
      <color rgb="00D03B3B"/>
      <sz val="9"/>
    </font>
    <font>
      <name val="Arial"/>
      <b val="1"/>
      <color rgb="00184F95"/>
      <sz val="12"/>
    </font>
    <font>
      <name val="Arial"/>
      <b val="1"/>
      <color rgb="00FFFFFF"/>
      <sz val="9"/>
    </font>
    <font>
      <name val="Arial"/>
      <color rgb="000B0B0B"/>
      <sz val="10"/>
    </font>
    <font>
      <name val="Arial"/>
      <b val="1"/>
      <color rgb="00184F95"/>
      <sz val="10"/>
    </font>
    <font>
      <name val="Arial"/>
      <color rgb="0052514E"/>
      <sz val="9.5"/>
    </font>
    <font>
      <name val="Arial"/>
      <i val="1"/>
      <color rgb="0052514E"/>
      <sz val="8.5"/>
    </font>
    <font>
      <name val="Arial"/>
      <color rgb="000B0B0B"/>
      <sz val="9.5"/>
    </font>
    <font>
      <name val="Arial"/>
      <b val="1"/>
      <color rgb="000B0B0B"/>
      <sz val="9.5"/>
    </font>
    <font>
      <name val="Arial"/>
      <b val="1"/>
      <color rgb="000B0B0B"/>
      <sz val="10"/>
    </font>
  </fonts>
  <fills count="5">
    <fill>
      <patternFill/>
    </fill>
    <fill>
      <patternFill patternType="gray125"/>
    </fill>
    <fill>
      <patternFill patternType="solid">
        <fgColor rgb="001C5CAB"/>
      </patternFill>
    </fill>
    <fill>
      <patternFill patternType="solid">
        <fgColor rgb="00F4F7FB"/>
      </patternFill>
    </fill>
    <fill>
      <patternFill patternType="solid">
        <fgColor rgb="00E6EEF8"/>
      </patternFill>
    </fill>
  </fills>
  <borders count="3">
    <border>
      <left/>
      <right/>
      <top/>
      <bottom/>
      <diagonal/>
    </border>
    <border>
      <bottom style="thin">
        <color rgb="00E1E0D9"/>
      </bottom>
    </border>
    <border>
      <top style="thin">
        <color rgb="00C3C2B7"/>
      </top>
      <bottom style="thin">
        <color rgb="00E1E0D9"/>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xf>
    <xf numFmtId="0" fontId="5" fillId="2" borderId="0" applyAlignment="1" pivotButton="0" quotePrefix="0" xfId="0">
      <alignment horizontal="center" vertical="center"/>
    </xf>
    <xf numFmtId="0" fontId="6" fillId="0" borderId="1" applyAlignment="1" pivotButton="0" quotePrefix="0" xfId="0">
      <alignment horizontal="left" vertical="center"/>
    </xf>
    <xf numFmtId="3" fontId="7" fillId="0" borderId="1" applyAlignment="1" pivotButton="0" quotePrefix="0" xfId="0">
      <alignment horizontal="right" vertical="center"/>
    </xf>
    <xf numFmtId="0" fontId="6" fillId="0" borderId="1" applyAlignment="1" pivotButton="0" quotePrefix="0" xfId="0">
      <alignment horizontal="left" vertical="center" wrapText="1"/>
    </xf>
    <xf numFmtId="0" fontId="6" fillId="3" borderId="1" applyAlignment="1" pivotButton="0" quotePrefix="0" xfId="0">
      <alignment horizontal="left" vertical="center"/>
    </xf>
    <xf numFmtId="0" fontId="7" fillId="3" borderId="1" applyAlignment="1" pivotButton="0" quotePrefix="0" xfId="0">
      <alignment horizontal="right" vertical="center"/>
    </xf>
    <xf numFmtId="0" fontId="7" fillId="3" borderId="1" applyAlignment="1" pivotButton="0" quotePrefix="0" xfId="0">
      <alignment horizontal="center" vertical="center"/>
    </xf>
    <xf numFmtId="0" fontId="6" fillId="3" borderId="1" applyAlignment="1" pivotButton="0" quotePrefix="0" xfId="0">
      <alignment horizontal="left" vertical="center" wrapText="1"/>
    </xf>
    <xf numFmtId="3" fontId="7" fillId="3" borderId="1" applyAlignment="1" pivotButton="0" quotePrefix="0" xfId="0">
      <alignment horizontal="right" vertical="center"/>
    </xf>
    <xf numFmtId="0" fontId="7" fillId="0" borderId="1" applyAlignment="1" pivotButton="0" quotePrefix="0" xfId="0">
      <alignment horizontal="center" vertical="center"/>
    </xf>
    <xf numFmtId="9" fontId="7" fillId="3" borderId="1" applyAlignment="1" pivotButton="0" quotePrefix="0" xfId="0">
      <alignment horizontal="right" vertical="center"/>
    </xf>
    <xf numFmtId="0" fontId="6"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center" vertical="center" wrapText="1"/>
    </xf>
    <xf numFmtId="0" fontId="10" fillId="0" borderId="1" applyAlignment="1" pivotButton="0" quotePrefix="0" xfId="0">
      <alignment horizontal="left" vertical="center"/>
    </xf>
    <xf numFmtId="3" fontId="10" fillId="0" borderId="1" applyAlignment="1" pivotButton="0" quotePrefix="0" xfId="0">
      <alignment horizontal="right" vertical="center"/>
    </xf>
    <xf numFmtId="0" fontId="10" fillId="3" borderId="1" applyAlignment="1" pivotButton="0" quotePrefix="0" xfId="0">
      <alignment horizontal="left" vertical="center"/>
    </xf>
    <xf numFmtId="3" fontId="10" fillId="3" borderId="1" applyAlignment="1" pivotButton="0" quotePrefix="0" xfId="0">
      <alignment horizontal="right" vertical="center"/>
    </xf>
    <xf numFmtId="164" fontId="10" fillId="0" borderId="1" applyAlignment="1" pivotButton="0" quotePrefix="0" xfId="0">
      <alignment horizontal="right" vertical="center"/>
    </xf>
    <xf numFmtId="164" fontId="10" fillId="3" borderId="1" applyAlignment="1" pivotButton="0" quotePrefix="0" xfId="0">
      <alignment horizontal="right" vertical="center"/>
    </xf>
    <xf numFmtId="0" fontId="11" fillId="4" borderId="2" applyAlignment="1" pivotButton="0" quotePrefix="0" xfId="0">
      <alignment horizontal="left" vertical="center"/>
    </xf>
    <xf numFmtId="3" fontId="11" fillId="4" borderId="2" applyAlignment="1" pivotButton="0" quotePrefix="0" xfId="0">
      <alignment horizontal="right" vertical="center"/>
    </xf>
    <xf numFmtId="164" fontId="11" fillId="4" borderId="2" applyAlignment="1" pivotButton="0" quotePrefix="0" xfId="0">
      <alignment horizontal="right" vertical="center"/>
    </xf>
    <xf numFmtId="2" fontId="10" fillId="0" borderId="1" applyAlignment="1" pivotButton="0" quotePrefix="0" xfId="0">
      <alignment horizontal="right" vertical="center"/>
    </xf>
    <xf numFmtId="165" fontId="10" fillId="0" borderId="1" applyAlignment="1" pivotButton="0" quotePrefix="0" xfId="0">
      <alignment horizontal="right" vertical="center"/>
    </xf>
    <xf numFmtId="2" fontId="10" fillId="3" borderId="1" applyAlignment="1" pivotButton="0" quotePrefix="0" xfId="0">
      <alignment horizontal="right" vertical="center"/>
    </xf>
    <xf numFmtId="165" fontId="10" fillId="3" borderId="1" applyAlignment="1" pivotButton="0" quotePrefix="0" xfId="0">
      <alignment horizontal="right" vertical="center"/>
    </xf>
    <xf numFmtId="0" fontId="10" fillId="3" borderId="1" applyAlignment="1" pivotButton="0" quotePrefix="0" xfId="0">
      <alignment horizontal="center" vertical="center"/>
    </xf>
    <xf numFmtId="2" fontId="11" fillId="4" borderId="2" applyAlignment="1" pivotButton="0" quotePrefix="0" xfId="0">
      <alignment horizontal="right" vertical="center"/>
    </xf>
    <xf numFmtId="0" fontId="11" fillId="4" borderId="2" applyAlignment="1" pivotButton="0" quotePrefix="0" xfId="0">
      <alignment horizontal="center" vertical="center"/>
    </xf>
    <xf numFmtId="0" fontId="10" fillId="0" borderId="1" applyAlignment="1" pivotButton="0" quotePrefix="0" xfId="0">
      <alignment horizontal="center" vertical="center"/>
    </xf>
    <xf numFmtId="165" fontId="11" fillId="4" borderId="2" applyAlignment="1" pivotButton="0" quotePrefix="0" xfId="0">
      <alignment horizontal="right" vertical="center"/>
    </xf>
    <xf numFmtId="0" fontId="10" fillId="3" borderId="1" applyAlignment="1" pivotButton="0" quotePrefix="0" xfId="0">
      <alignment horizontal="right" vertical="center"/>
    </xf>
    <xf numFmtId="0" fontId="10" fillId="0" borderId="1" applyAlignment="1" pivotButton="0" quotePrefix="0" xfId="0">
      <alignment horizontal="right" vertical="center"/>
    </xf>
    <xf numFmtId="0" fontId="11" fillId="4" borderId="2" applyAlignment="1" pivotButton="0" quotePrefix="0" xfId="0">
      <alignment horizontal="right" vertical="center"/>
    </xf>
    <xf numFmtId="0" fontId="1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_rels/drawing3.xml.rels><Relationships xmlns="http://schemas.openxmlformats.org/package/2006/relationships"><Relationship Type="http://schemas.openxmlformats.org/officeDocument/2006/relationships/image" Target="/xl/media/image5.png" Id="rId1"/></Relationships>
</file>

<file path=xl/drawings/_rels/drawing4.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31</row>
      <rowOff>0</rowOff>
    </from>
    <ext cx="7239000" cy="1609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42</row>
      <rowOff>0</rowOff>
    </from>
    <ext cx="7239000" cy="4676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135</row>
      <rowOff>0</rowOff>
    </from>
    <ext cx="7239000" cy="2486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12</row>
      <rowOff>0</rowOff>
    </from>
    <ext cx="7239000" cy="2486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31</row>
      <rowOff>0</rowOff>
    </from>
    <ext cx="7239000" cy="2924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15</row>
      <rowOff>0</rowOff>
    </from>
    <ext cx="7239000" cy="3829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E27"/>
  <sheetViews>
    <sheetView showGridLines="0" zoomScale="100" workbookViewId="0">
      <selection activeCell="A1" sqref="A1"/>
    </sheetView>
  </sheetViews>
  <sheetFormatPr baseColWidth="8" defaultRowHeight="15"/>
  <cols>
    <col width="20" customWidth="1" min="1" max="1"/>
    <col width="34" customWidth="1" min="2" max="2"/>
    <col width="14" customWidth="1" min="3" max="3"/>
    <col width="12" customWidth="1" min="4" max="4"/>
    <col width="62" customWidth="1" min="5" max="5"/>
  </cols>
  <sheetData>
    <row r="1" ht="24" customHeight="1">
      <c r="A1" s="1" t="inlineStr">
        <is>
          <t>Cleo Diagnostics CSP-01-001 | Monthly trial summary | July 2026</t>
        </is>
      </c>
    </row>
    <row r="2">
      <c r="A2" s="2" t="inlineStr">
        <is>
          <t>Reporting month July 2026 · Data to 31 Jul 2026 · Citrus export 03 Aug 2026 13:57 UTC · Inventory report 03AUG2026</t>
        </is>
      </c>
    </row>
    <row r="3">
      <c r="A3" s="3" t="inlineStr">
        <is>
          <t>Sponsor version, draft for review. A person checks every figure before this goes to the sponsor.</t>
        </is>
      </c>
    </row>
    <row r="4">
      <c r="A4" s="4" t="inlineStr">
        <is>
          <t>Key figures</t>
        </is>
      </c>
    </row>
    <row r="5" ht="22" customHeight="1">
      <c r="A5" s="5" t="inlineStr">
        <is>
          <t>Area</t>
        </is>
      </c>
      <c r="B5" s="5" t="inlineStr">
        <is>
          <t>Measure</t>
        </is>
      </c>
      <c r="C5" s="6" t="inlineStr">
        <is>
          <t>July 2026</t>
        </is>
      </c>
      <c r="D5" s="6" t="inlineStr">
        <is>
          <t>To date</t>
        </is>
      </c>
      <c r="E5" s="5" t="inlineStr">
        <is>
          <t>Detail</t>
        </is>
      </c>
    </row>
    <row r="6" ht="18" customHeight="1">
      <c r="A6" s="7" t="inlineStr">
        <is>
          <t>Enrollment</t>
        </is>
      </c>
      <c r="B6" s="7" t="inlineStr">
        <is>
          <t>Participants enrolled</t>
        </is>
      </c>
      <c r="C6" s="8" t="n">
        <v>66</v>
      </c>
      <c r="D6" s="8" t="n">
        <v>884</v>
      </c>
      <c r="E6" s="9" t="inlineStr"/>
    </row>
    <row r="7" ht="18" customHeight="1">
      <c r="A7" s="10" t="inlineStr">
        <is>
          <t>Enrollment</t>
        </is>
      </c>
      <c r="B7" s="10" t="inlineStr">
        <is>
          <t>Enrolled per active site</t>
        </is>
      </c>
      <c r="C7" s="11" t="n">
        <v>3.14</v>
      </c>
      <c r="D7" s="12" t="inlineStr">
        <is>
          <t>–</t>
        </is>
      </c>
      <c r="E7" s="13" t="inlineStr">
        <is>
          <t>0.71 per active site per week; 21 active sites</t>
        </is>
      </c>
    </row>
    <row r="8" ht="18" customHeight="1">
      <c r="A8" s="7" t="inlineStr">
        <is>
          <t>Post-surgical</t>
        </is>
      </c>
      <c r="B8" s="7" t="inlineStr">
        <is>
          <t>Surgeries complete</t>
        </is>
      </c>
      <c r="C8" s="8" t="n">
        <v>40</v>
      </c>
      <c r="D8" s="8" t="n">
        <v>797</v>
      </c>
      <c r="E8" s="9" t="inlineStr"/>
    </row>
    <row r="9" ht="18" customHeight="1">
      <c r="A9" s="10" t="inlineStr">
        <is>
          <t>Post-surgical</t>
        </is>
      </c>
      <c r="B9" s="10" t="inlineStr">
        <is>
          <t>Pathology reports uploaded</t>
        </is>
      </c>
      <c r="C9" s="14" t="n">
        <v>48</v>
      </c>
      <c r="D9" s="14" t="n">
        <v>687</v>
      </c>
      <c r="E9" s="13" t="inlineStr">
        <is>
          <t>86% of surgeries complete; median 45 days from enrollment</t>
        </is>
      </c>
    </row>
    <row r="10" ht="18" customHeight="1">
      <c r="A10" s="7" t="inlineStr">
        <is>
          <t>Blood samples</t>
        </is>
      </c>
      <c r="B10" s="7" t="inlineStr">
        <is>
          <t>Samples registered</t>
        </is>
      </c>
      <c r="C10" s="8" t="n">
        <v>124</v>
      </c>
      <c r="D10" s="15" t="inlineStr">
        <is>
          <t>–</t>
        </is>
      </c>
      <c r="E10" s="9" t="inlineStr"/>
    </row>
    <row r="11" ht="18" customHeight="1">
      <c r="A11" s="10" t="inlineStr">
        <is>
          <t>Blood samples</t>
        </is>
      </c>
      <c r="B11" s="10" t="inlineStr">
        <is>
          <t>Samples inside registration window</t>
        </is>
      </c>
      <c r="C11" s="16" t="n">
        <v>0.8709677419354839</v>
      </c>
      <c r="D11" s="16" t="n">
        <v>0.8610271903323263</v>
      </c>
      <c r="E11" s="13" t="inlineStr">
        <is>
          <t>108 of 124 in Jul 2026</t>
        </is>
      </c>
    </row>
    <row r="12" ht="18" customHeight="1">
      <c r="A12" s="7" t="inlineStr">
        <is>
          <t>Data queries</t>
        </is>
      </c>
      <c r="B12" s="7" t="inlineStr">
        <is>
          <t>Queries raised</t>
        </is>
      </c>
      <c r="C12" s="8" t="n">
        <v>133</v>
      </c>
      <c r="D12" s="8" t="n">
        <v>1004</v>
      </c>
      <c r="E12" s="9" t="inlineStr">
        <is>
          <t>105 closed in Jul 2026</t>
        </is>
      </c>
    </row>
    <row r="13" ht="18" customHeight="1">
      <c r="A13" s="10" t="inlineStr">
        <is>
          <t>Data queries</t>
        </is>
      </c>
      <c r="B13" s="10" t="inlineStr">
        <is>
          <t>Unresolved queries at month end</t>
        </is>
      </c>
      <c r="C13" s="12" t="inlineStr">
        <is>
          <t>–</t>
        </is>
      </c>
      <c r="D13" s="14" t="n">
        <v>181</v>
      </c>
      <c r="E13" s="13" t="inlineStr">
        <is>
          <t>129 open, 52 reviewing; median 97 days open</t>
        </is>
      </c>
    </row>
    <row r="16">
      <c r="A16" s="4" t="inlineStr">
        <is>
          <t>Highlights</t>
        </is>
      </c>
    </row>
    <row r="17" ht="28" customHeight="1">
      <c r="A17" s="17" t="inlineStr">
        <is>
          <t>•  66 participants enrolled in July 2026, up from 60 in June 2026. Total enrollment is now 884.</t>
        </is>
      </c>
    </row>
    <row r="18" ht="28" customHeight="1">
      <c r="A18" s="17" t="inlineStr">
        <is>
          <t>•  21 sites are active and enrolled an average of 3.1 participants each in July 2026.</t>
        </is>
      </c>
    </row>
    <row r="19" ht="28" customHeight="1">
      <c r="A19" s="17" t="inlineStr">
        <is>
          <t>•  678 participants have completed the study, 77% of those enrolled.</t>
        </is>
      </c>
    </row>
    <row r="20" ht="28" customHeight="1">
      <c r="A20" s="17" t="inlineStr">
        <is>
          <t>•  Pathology reports are 86% complete: 687 of 797 participants with surgery have a report uploaded.</t>
        </is>
      </c>
    </row>
    <row r="21" ht="28" customHeight="1">
      <c r="A21" s="17" t="inlineStr">
        <is>
          <t>•  87% of blood samples registered in July 2026 reached the central lab within the required window.</t>
        </is>
      </c>
    </row>
    <row r="24">
      <c r="A24" s="4" t="inlineStr">
        <is>
          <t>Needs attention</t>
        </is>
      </c>
    </row>
    <row r="25" ht="28" customHeight="1">
      <c r="A25" s="17" t="inlineStr">
        <is>
          <t>•  Sample shipping: 16 of 124 samples registered in July 2026 arrived outside the required window, and 4 sample pairs were shipped together instead of separately. Sites should ship each sample promptly after collection.</t>
        </is>
      </c>
    </row>
    <row r="26" ht="28" customHeight="1">
      <c r="A26" s="17" t="inlineStr">
        <is>
          <t>•  Missing samples: 40 participants are missing one or both blood samples past the registration deadline.</t>
        </is>
      </c>
    </row>
    <row r="27" ht="28" customHeight="1">
      <c r="A27" s="17" t="inlineStr">
        <is>
          <t>•  Pathology reports: 71 participants are more than 60 days past surgery without a report uploaded.</t>
        </is>
      </c>
    </row>
  </sheetData>
  <mergeCells count="8">
    <mergeCell ref="A21:E21"/>
    <mergeCell ref="A20:E20"/>
    <mergeCell ref="A26:E26"/>
    <mergeCell ref="A25:E25"/>
    <mergeCell ref="A19:E19"/>
    <mergeCell ref="A17:E17"/>
    <mergeCell ref="A18:E18"/>
    <mergeCell ref="A27:E27"/>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133"/>
  <sheetViews>
    <sheetView showGridLines="0" zoomScale="100" workbookViewId="0">
      <selection activeCell="A1" sqref="A1"/>
    </sheetView>
  </sheetViews>
  <sheetFormatPr baseColWidth="8" defaultRowHeight="15"/>
  <cols>
    <col width="40" customWidth="1" min="1" max="1"/>
    <col width="12" customWidth="1" min="2" max="2"/>
    <col width="2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4" customHeight="1">
      <c r="A1" s="1" t="inlineStr">
        <is>
          <t>Enrollment</t>
        </is>
      </c>
    </row>
    <row r="2">
      <c r="A2" s="2" t="inlineStr">
        <is>
          <t>Reporting month July 2026 · Data to 31 Jul 2026 · Citrus export 03 Aug 2026 13:57 UTC · Inventory report 03AUG2026</t>
        </is>
      </c>
    </row>
    <row r="3">
      <c r="A3" s="18" t="inlineStr">
        <is>
          <t>Enrollment activity in July 2026 and cumulative to month end.</t>
        </is>
      </c>
    </row>
    <row r="4">
      <c r="A4" s="4" t="inlineStr">
        <is>
          <t>Recruitment summary</t>
        </is>
      </c>
    </row>
    <row r="5" ht="13" customHeight="1">
      <c r="A5" s="19" t="inlineStr">
        <is>
          <t>Counts use the date of each event. Citrus holds no pre-screening date, so pre-screening is not shown.</t>
        </is>
      </c>
    </row>
    <row r="6" ht="19" customHeight="1">
      <c r="A6" s="20" t="inlineStr">
        <is>
          <t>Measure</t>
        </is>
      </c>
      <c r="B6" s="21" t="inlineStr">
        <is>
          <t>July 2026</t>
        </is>
      </c>
      <c r="C6" s="21" t="inlineStr">
        <is>
          <t>To date (to 31 Jul 2026)</t>
        </is>
      </c>
    </row>
    <row r="7">
      <c r="A7" s="22" t="inlineStr">
        <is>
          <t>Consented</t>
        </is>
      </c>
      <c r="B7" s="23" t="n">
        <v>72</v>
      </c>
      <c r="C7" s="23" t="n">
        <v>974</v>
      </c>
    </row>
    <row r="8">
      <c r="A8" s="24" t="inlineStr">
        <is>
          <t>Enrolled</t>
        </is>
      </c>
      <c r="B8" s="25" t="n">
        <v>66</v>
      </c>
      <c r="C8" s="25" t="n">
        <v>884</v>
      </c>
    </row>
    <row r="9">
      <c r="A9" s="22" t="inlineStr">
        <is>
          <t>Screen failures</t>
        </is>
      </c>
      <c r="B9" s="23" t="n">
        <v>2</v>
      </c>
      <c r="C9" s="23" t="n">
        <v>49</v>
      </c>
    </row>
    <row r="10">
      <c r="A10" s="24" t="inlineStr">
        <is>
          <t>Withdrawals</t>
        </is>
      </c>
      <c r="B10" s="25" t="n">
        <v>2</v>
      </c>
      <c r="C10" s="25" t="n">
        <v>20</v>
      </c>
    </row>
    <row r="11">
      <c r="A11" s="22" t="inlineStr">
        <is>
          <t>Completed study</t>
        </is>
      </c>
      <c r="B11" s="23" t="n">
        <v>44</v>
      </c>
      <c r="C11" s="23" t="n">
        <v>678</v>
      </c>
    </row>
    <row r="14">
      <c r="A14" s="4" t="inlineStr">
        <is>
          <t>Consent to enrollment</t>
        </is>
      </c>
    </row>
    <row r="15" ht="19" customHeight="1">
      <c r="A15" s="20" t="inlineStr">
        <is>
          <t>Measure</t>
        </is>
      </c>
      <c r="B15" s="21" t="inlineStr">
        <is>
          <t>n</t>
        </is>
      </c>
      <c r="C15" s="21" t="inlineStr">
        <is>
          <t>Denominator</t>
        </is>
      </c>
      <c r="D15" s="21" t="inlineStr">
        <is>
          <t>%</t>
        </is>
      </c>
    </row>
    <row r="16">
      <c r="A16" s="22" t="inlineStr">
        <is>
          <t>Consented in Jul 2026 and enrolled by month end</t>
        </is>
      </c>
      <c r="B16" s="23" t="n">
        <v>63</v>
      </c>
      <c r="C16" s="22" t="inlineStr">
        <is>
          <t>72 consented in Jul 2026</t>
        </is>
      </c>
      <c r="D16" s="26" t="n">
        <v>0.875</v>
      </c>
    </row>
    <row r="17">
      <c r="A17" s="24" t="inlineStr">
        <is>
          <t>Enrolled to date</t>
        </is>
      </c>
      <c r="B17" s="25" t="n">
        <v>884</v>
      </c>
      <c r="C17" s="24" t="inlineStr">
        <is>
          <t>974 consented to date</t>
        </is>
      </c>
      <c r="D17" s="27" t="n">
        <v>0.9075975359342916</v>
      </c>
    </row>
    <row r="18">
      <c r="A18" s="22" t="inlineStr">
        <is>
          <t>Screen failures to date</t>
        </is>
      </c>
      <c r="B18" s="23" t="n">
        <v>49</v>
      </c>
      <c r="C18" s="22" t="inlineStr">
        <is>
          <t>974 consented to date</t>
        </is>
      </c>
      <c r="D18" s="26" t="n">
        <v>0.05030800821355236</v>
      </c>
    </row>
    <row r="21">
      <c r="A21" s="4" t="inlineStr">
        <is>
          <t>Participant status at month end (31 Jul 2026)</t>
        </is>
      </c>
    </row>
    <row r="22" ht="13" customHeight="1">
      <c r="A22" s="19" t="inlineStr">
        <is>
          <t>Denominator: 974 participants consented to date.</t>
        </is>
      </c>
    </row>
    <row r="23" ht="32" customHeight="1">
      <c r="A23" s="20" t="inlineStr">
        <is>
          <t>Status</t>
        </is>
      </c>
      <c r="B23" s="21" t="inlineStr">
        <is>
          <t>Participants</t>
        </is>
      </c>
      <c r="C23" s="21" t="inlineStr">
        <is>
          <t>% of consented</t>
        </is>
      </c>
    </row>
    <row r="24">
      <c r="A24" s="22" t="inlineStr">
        <is>
          <t>Consented, not yet enrolled</t>
        </is>
      </c>
      <c r="B24" s="23" t="n">
        <v>41</v>
      </c>
      <c r="C24" s="26" t="n">
        <v>0.04209445585215606</v>
      </c>
    </row>
    <row r="25">
      <c r="A25" s="24" t="inlineStr">
        <is>
          <t>Enrolled, active</t>
        </is>
      </c>
      <c r="B25" s="25" t="n">
        <v>186</v>
      </c>
      <c r="C25" s="27" t="n">
        <v>0.1909650924024641</v>
      </c>
    </row>
    <row r="26">
      <c r="A26" s="22" t="inlineStr">
        <is>
          <t>Completed</t>
        </is>
      </c>
      <c r="B26" s="23" t="n">
        <v>678</v>
      </c>
      <c r="C26" s="26" t="n">
        <v>0.6960985626283368</v>
      </c>
    </row>
    <row r="27">
      <c r="A27" s="24" t="inlineStr">
        <is>
          <t>Withdrawn</t>
        </is>
      </c>
      <c r="B27" s="25" t="n">
        <v>20</v>
      </c>
      <c r="C27" s="27" t="n">
        <v>0.02053388090349076</v>
      </c>
    </row>
    <row r="28">
      <c r="A28" s="22" t="inlineStr">
        <is>
          <t>Screen failed</t>
        </is>
      </c>
      <c r="B28" s="23" t="n">
        <v>49</v>
      </c>
      <c r="C28" s="26" t="n">
        <v>0.05030800821355236</v>
      </c>
    </row>
    <row r="29">
      <c r="A29" s="28" t="inlineStr">
        <is>
          <t>Total consented</t>
        </is>
      </c>
      <c r="B29" s="29" t="n">
        <v>974</v>
      </c>
      <c r="C29" s="30" t="n">
        <v>1</v>
      </c>
    </row>
    <row r="70">
      <c r="A70" s="4" t="inlineStr">
        <is>
          <t>Enrollments by site and week, July 2026</t>
        </is>
      </c>
    </row>
    <row r="71" ht="26" customHeight="1">
      <c r="A71" s="19" t="inlineStr">
        <is>
          <t>Weeks run Monday to Sunday. * Part week: only days inside the month count. Per week = month total ÷ 4.43 weeks. Per month since activation = enrolled to date ÷ months since the site activation date. Activation dates and site types come from the site lookup table.</t>
        </is>
      </c>
    </row>
    <row r="72" ht="45" customHeight="1">
      <c r="A72" s="20" t="inlineStr">
        <is>
          <t>Site</t>
        </is>
      </c>
      <c r="B72" s="21" t="inlineStr">
        <is>
          <t>Type</t>
        </is>
      </c>
      <c r="C72" s="21" t="inlineStr">
        <is>
          <t>29 Jun–5 Jul*</t>
        </is>
      </c>
      <c r="D72" s="21" t="inlineStr">
        <is>
          <t>6 Jul–12 Jul</t>
        </is>
      </c>
      <c r="E72" s="21" t="inlineStr">
        <is>
          <t>13 Jul–19 Jul</t>
        </is>
      </c>
      <c r="F72" s="21" t="inlineStr">
        <is>
          <t>20 Jul–26 Jul</t>
        </is>
      </c>
      <c r="G72" s="21" t="inlineStr">
        <is>
          <t>27 Jul–2 Aug*</t>
        </is>
      </c>
      <c r="H72" s="21" t="inlineStr">
        <is>
          <t>Jul 2026 total</t>
        </is>
      </c>
      <c r="I72" s="21" t="inlineStr">
        <is>
          <t>Per week</t>
        </is>
      </c>
      <c r="J72" s="21" t="inlineStr">
        <is>
          <t>Enrolled to date</t>
        </is>
      </c>
      <c r="K72" s="21" t="inlineStr">
        <is>
          <t>Months active</t>
        </is>
      </c>
      <c r="L72" s="21" t="inlineStr">
        <is>
          <t>Per month since activation</t>
        </is>
      </c>
    </row>
    <row r="73">
      <c r="A73" s="22" t="inlineStr">
        <is>
          <t>AP Medical Research</t>
        </is>
      </c>
      <c r="B73" s="22" t="inlineStr">
        <is>
          <t>General Onc</t>
        </is>
      </c>
      <c r="C73" s="23" t="n">
        <v>0</v>
      </c>
      <c r="D73" s="23" t="n">
        <v>0</v>
      </c>
      <c r="E73" s="23" t="n">
        <v>0</v>
      </c>
      <c r="F73" s="23" t="n">
        <v>0</v>
      </c>
      <c r="G73" s="23" t="n">
        <v>0</v>
      </c>
      <c r="H73" s="23" t="n">
        <v>0</v>
      </c>
      <c r="I73" s="31" t="n">
        <v>0</v>
      </c>
      <c r="J73" s="23" t="n">
        <v>2</v>
      </c>
      <c r="K73" s="32" t="n">
        <v>16.45995893223819</v>
      </c>
      <c r="L73" s="31" t="n">
        <v>0.1215069860279441</v>
      </c>
    </row>
    <row r="74">
      <c r="A74" s="24" t="inlineStr">
        <is>
          <t>Beth Israel Deaconess</t>
        </is>
      </c>
      <c r="B74" s="24" t="inlineStr">
        <is>
          <t>Gyn/Onc</t>
        </is>
      </c>
      <c r="C74" s="25" t="n">
        <v>0</v>
      </c>
      <c r="D74" s="25" t="n">
        <v>1</v>
      </c>
      <c r="E74" s="25" t="n">
        <v>1</v>
      </c>
      <c r="F74" s="25" t="n">
        <v>1</v>
      </c>
      <c r="G74" s="25" t="n">
        <v>1</v>
      </c>
      <c r="H74" s="25" t="n">
        <v>4</v>
      </c>
      <c r="I74" s="33" t="n">
        <v>0.9032258064516129</v>
      </c>
      <c r="J74" s="25" t="n">
        <v>59</v>
      </c>
      <c r="K74" s="34" t="n">
        <v>9.757700205338809</v>
      </c>
      <c r="L74" s="33" t="n">
        <v>6.046506734006734</v>
      </c>
    </row>
    <row r="75">
      <c r="A75" s="22" t="inlineStr">
        <is>
          <t>Cleveland Clinic</t>
        </is>
      </c>
      <c r="B75" s="22" t="inlineStr">
        <is>
          <t>Gyn/Onc</t>
        </is>
      </c>
      <c r="C75" s="23" t="n">
        <v>1</v>
      </c>
      <c r="D75" s="23" t="n">
        <v>2</v>
      </c>
      <c r="E75" s="23" t="n">
        <v>2</v>
      </c>
      <c r="F75" s="23" t="n">
        <v>1</v>
      </c>
      <c r="G75" s="23" t="n">
        <v>3</v>
      </c>
      <c r="H75" s="23" t="n">
        <v>9</v>
      </c>
      <c r="I75" s="31" t="n">
        <v>2.032258064516129</v>
      </c>
      <c r="J75" s="23" t="n">
        <v>63</v>
      </c>
      <c r="K75" s="32" t="n">
        <v>9.659137577002053</v>
      </c>
      <c r="L75" s="31" t="n">
        <v>6.522321428571429</v>
      </c>
    </row>
    <row r="76">
      <c r="A76" s="24" t="inlineStr">
        <is>
          <t>Columbia University Irving Medical Center</t>
        </is>
      </c>
      <c r="B76" s="24" t="inlineStr">
        <is>
          <t>Gyn/Onc</t>
        </is>
      </c>
      <c r="C76" s="25" t="n">
        <v>0</v>
      </c>
      <c r="D76" s="25" t="n">
        <v>2</v>
      </c>
      <c r="E76" s="25" t="n">
        <v>0</v>
      </c>
      <c r="F76" s="25" t="n">
        <v>1</v>
      </c>
      <c r="G76" s="25" t="n">
        <v>1</v>
      </c>
      <c r="H76" s="25" t="n">
        <v>4</v>
      </c>
      <c r="I76" s="33" t="n">
        <v>0.9032258064516129</v>
      </c>
      <c r="J76" s="25" t="n">
        <v>68</v>
      </c>
      <c r="K76" s="34" t="n">
        <v>9.659137577002053</v>
      </c>
      <c r="L76" s="33" t="n">
        <v>7.039965986394559</v>
      </c>
    </row>
    <row r="77">
      <c r="A77" s="22" t="inlineStr">
        <is>
          <t>Duke University Medical Center</t>
        </is>
      </c>
      <c r="B77" s="22" t="inlineStr">
        <is>
          <t>Gyn/Onc</t>
        </is>
      </c>
      <c r="C77" s="23" t="n">
        <v>2</v>
      </c>
      <c r="D77" s="23" t="n">
        <v>2</v>
      </c>
      <c r="E77" s="23" t="n">
        <v>1</v>
      </c>
      <c r="F77" s="23" t="n">
        <v>0</v>
      </c>
      <c r="G77" s="23" t="n">
        <v>2</v>
      </c>
      <c r="H77" s="23" t="n">
        <v>7</v>
      </c>
      <c r="I77" s="31" t="n">
        <v>1.580645161290323</v>
      </c>
      <c r="J77" s="23" t="n">
        <v>60</v>
      </c>
      <c r="K77" s="32" t="n">
        <v>10.38193018480493</v>
      </c>
      <c r="L77" s="31" t="n">
        <v>5.779272151898734</v>
      </c>
    </row>
    <row r="78">
      <c r="A78" s="24" t="inlineStr">
        <is>
          <t>ES Clinical Research Group (terminated)</t>
        </is>
      </c>
      <c r="B78" s="24" t="inlineStr">
        <is>
          <t>General Gyn</t>
        </is>
      </c>
      <c r="C78" s="25" t="n">
        <v>0</v>
      </c>
      <c r="D78" s="25" t="n">
        <v>0</v>
      </c>
      <c r="E78" s="25" t="n">
        <v>0</v>
      </c>
      <c r="F78" s="25" t="n">
        <v>0</v>
      </c>
      <c r="G78" s="25" t="n">
        <v>0</v>
      </c>
      <c r="H78" s="25" t="n">
        <v>0</v>
      </c>
      <c r="I78" s="33" t="n">
        <v>0</v>
      </c>
      <c r="J78" s="25" t="n">
        <v>1</v>
      </c>
      <c r="K78" s="35" t="inlineStr">
        <is>
          <t>–</t>
        </is>
      </c>
      <c r="L78" s="35" t="inlineStr">
        <is>
          <t>–</t>
        </is>
      </c>
    </row>
    <row r="79">
      <c r="A79" s="22" t="inlineStr">
        <is>
          <t>Eastern Carolina Women's</t>
        </is>
      </c>
      <c r="B79" s="22" t="inlineStr">
        <is>
          <t>General Gyn</t>
        </is>
      </c>
      <c r="C79" s="23" t="n">
        <v>0</v>
      </c>
      <c r="D79" s="23" t="n">
        <v>0</v>
      </c>
      <c r="E79" s="23" t="n">
        <v>0</v>
      </c>
      <c r="F79" s="23" t="n">
        <v>0</v>
      </c>
      <c r="G79" s="23" t="n">
        <v>0</v>
      </c>
      <c r="H79" s="23" t="n">
        <v>0</v>
      </c>
      <c r="I79" s="31" t="n">
        <v>0</v>
      </c>
      <c r="J79" s="23" t="n">
        <v>1</v>
      </c>
      <c r="K79" s="32" t="n">
        <v>15.54004106776181</v>
      </c>
      <c r="L79" s="31" t="n">
        <v>0.06434989429175475</v>
      </c>
    </row>
    <row r="80">
      <c r="A80" s="24" t="inlineStr">
        <is>
          <t>Emerald Coast Clinical Research</t>
        </is>
      </c>
      <c r="B80" s="24" t="inlineStr">
        <is>
          <t>General Gyn</t>
        </is>
      </c>
      <c r="C80" s="25" t="n">
        <v>0</v>
      </c>
      <c r="D80" s="25" t="n">
        <v>0</v>
      </c>
      <c r="E80" s="25" t="n">
        <v>2</v>
      </c>
      <c r="F80" s="25" t="n">
        <v>0</v>
      </c>
      <c r="G80" s="25" t="n">
        <v>1</v>
      </c>
      <c r="H80" s="25" t="n">
        <v>3</v>
      </c>
      <c r="I80" s="33" t="n">
        <v>0.6774193548387096</v>
      </c>
      <c r="J80" s="25" t="n">
        <v>68</v>
      </c>
      <c r="K80" s="34" t="n">
        <v>19.35112936344969</v>
      </c>
      <c r="L80" s="33" t="n">
        <v>3.514006791171477</v>
      </c>
    </row>
    <row r="81">
      <c r="A81" s="22" t="inlineStr">
        <is>
          <t>HCA Florida Physicians</t>
        </is>
      </c>
      <c r="B81" s="22" t="inlineStr">
        <is>
          <t>Gyn/Onc</t>
        </is>
      </c>
      <c r="C81" s="23" t="n">
        <v>1</v>
      </c>
      <c r="D81" s="23" t="n">
        <v>1</v>
      </c>
      <c r="E81" s="23" t="n">
        <v>1</v>
      </c>
      <c r="F81" s="23" t="n">
        <v>4</v>
      </c>
      <c r="G81" s="23" t="n">
        <v>2</v>
      </c>
      <c r="H81" s="23" t="n">
        <v>9</v>
      </c>
      <c r="I81" s="31" t="n">
        <v>2.032258064516129</v>
      </c>
      <c r="J81" s="23" t="n">
        <v>54</v>
      </c>
      <c r="K81" s="32" t="n">
        <v>5.28952772073922</v>
      </c>
      <c r="L81" s="31" t="n">
        <v>10.20885093167702</v>
      </c>
    </row>
    <row r="82">
      <c r="A82" s="24" t="inlineStr">
        <is>
          <t>Maximos Obgyn</t>
        </is>
      </c>
      <c r="B82" s="24" t="inlineStr">
        <is>
          <t>General Gyn</t>
        </is>
      </c>
      <c r="C82" s="25" t="n">
        <v>0</v>
      </c>
      <c r="D82" s="25" t="n">
        <v>0</v>
      </c>
      <c r="E82" s="25" t="n">
        <v>0</v>
      </c>
      <c r="F82" s="25" t="n">
        <v>0</v>
      </c>
      <c r="G82" s="25" t="n">
        <v>0</v>
      </c>
      <c r="H82" s="25" t="n">
        <v>0</v>
      </c>
      <c r="I82" s="33" t="n">
        <v>0</v>
      </c>
      <c r="J82" s="25" t="n">
        <v>29</v>
      </c>
      <c r="K82" s="34" t="n">
        <v>15.08008213552361</v>
      </c>
      <c r="L82" s="33" t="n">
        <v>1.923066448801743</v>
      </c>
    </row>
    <row r="83">
      <c r="A83" s="22" t="inlineStr">
        <is>
          <t>New Horizons Clinical Research</t>
        </is>
      </c>
      <c r="B83" s="22" t="inlineStr">
        <is>
          <t>General Gyn</t>
        </is>
      </c>
      <c r="C83" s="23" t="n">
        <v>1</v>
      </c>
      <c r="D83" s="23" t="n">
        <v>0</v>
      </c>
      <c r="E83" s="23" t="n">
        <v>1</v>
      </c>
      <c r="F83" s="23" t="n">
        <v>1</v>
      </c>
      <c r="G83" s="23" t="n">
        <v>2</v>
      </c>
      <c r="H83" s="23" t="n">
        <v>5</v>
      </c>
      <c r="I83" s="31" t="n">
        <v>1.129032258064516</v>
      </c>
      <c r="J83" s="23" t="n">
        <v>100</v>
      </c>
      <c r="K83" s="32" t="n">
        <v>23.26078028747433</v>
      </c>
      <c r="L83" s="31" t="n">
        <v>4.299081920903955</v>
      </c>
    </row>
    <row r="84">
      <c r="A84" s="24" t="inlineStr">
        <is>
          <t>Next Innovative Clinical Research</t>
        </is>
      </c>
      <c r="B84" s="24" t="inlineStr">
        <is>
          <t>General Gyn</t>
        </is>
      </c>
      <c r="C84" s="25" t="n">
        <v>0</v>
      </c>
      <c r="D84" s="25" t="n">
        <v>0</v>
      </c>
      <c r="E84" s="25" t="n">
        <v>0</v>
      </c>
      <c r="F84" s="25" t="n">
        <v>0</v>
      </c>
      <c r="G84" s="25" t="n">
        <v>0</v>
      </c>
      <c r="H84" s="25" t="n">
        <v>0</v>
      </c>
      <c r="I84" s="33" t="n">
        <v>0</v>
      </c>
      <c r="J84" s="25" t="n">
        <v>17</v>
      </c>
      <c r="K84" s="34" t="n">
        <v>22.34086242299795</v>
      </c>
      <c r="L84" s="33" t="n">
        <v>0.7609374999999999</v>
      </c>
    </row>
    <row r="85">
      <c r="A85" s="22" t="inlineStr">
        <is>
          <t>Prime Clinical Research</t>
        </is>
      </c>
      <c r="B85" s="22" t="inlineStr">
        <is>
          <t>General Gyn</t>
        </is>
      </c>
      <c r="C85" s="23" t="n">
        <v>0</v>
      </c>
      <c r="D85" s="23" t="n">
        <v>0</v>
      </c>
      <c r="E85" s="23" t="n">
        <v>0</v>
      </c>
      <c r="F85" s="23" t="n">
        <v>0</v>
      </c>
      <c r="G85" s="23" t="n">
        <v>0</v>
      </c>
      <c r="H85" s="23" t="n">
        <v>0</v>
      </c>
      <c r="I85" s="31" t="n">
        <v>0</v>
      </c>
      <c r="J85" s="23" t="n">
        <v>17</v>
      </c>
      <c r="K85" s="32" t="n">
        <v>21.91375770020534</v>
      </c>
      <c r="L85" s="31" t="n">
        <v>0.7757683658170915</v>
      </c>
    </row>
    <row r="86">
      <c r="A86" s="24" t="inlineStr">
        <is>
          <t>RUSH University Medical Center</t>
        </is>
      </c>
      <c r="B86" s="24" t="inlineStr">
        <is>
          <t>Gyn/Onc</t>
        </is>
      </c>
      <c r="C86" s="25" t="n">
        <v>0</v>
      </c>
      <c r="D86" s="25" t="n">
        <v>2</v>
      </c>
      <c r="E86" s="25" t="n">
        <v>2</v>
      </c>
      <c r="F86" s="25" t="n">
        <v>0</v>
      </c>
      <c r="G86" s="25" t="n">
        <v>0</v>
      </c>
      <c r="H86" s="25" t="n">
        <v>4</v>
      </c>
      <c r="I86" s="33" t="n">
        <v>0.9032258064516129</v>
      </c>
      <c r="J86" s="25" t="n">
        <v>44</v>
      </c>
      <c r="K86" s="34" t="n">
        <v>9.429158110882957</v>
      </c>
      <c r="L86" s="33" t="n">
        <v>4.666376306620209</v>
      </c>
    </row>
    <row r="87">
      <c r="A87" s="22" t="inlineStr">
        <is>
          <t>Springfield Clinic</t>
        </is>
      </c>
      <c r="B87" s="22" t="inlineStr">
        <is>
          <t>Gyn/Onc</t>
        </is>
      </c>
      <c r="C87" s="23" t="n">
        <v>0</v>
      </c>
      <c r="D87" s="23" t="n">
        <v>0</v>
      </c>
      <c r="E87" s="23" t="n">
        <v>0</v>
      </c>
      <c r="F87" s="23" t="n">
        <v>0</v>
      </c>
      <c r="G87" s="23" t="n">
        <v>0</v>
      </c>
      <c r="H87" s="23" t="n">
        <v>0</v>
      </c>
      <c r="I87" s="31" t="n">
        <v>0</v>
      </c>
      <c r="J87" s="23" t="n">
        <v>40</v>
      </c>
      <c r="K87" s="32" t="n">
        <v>14.62012320328542</v>
      </c>
      <c r="L87" s="31" t="n">
        <v>2.735955056179775</v>
      </c>
    </row>
    <row r="88">
      <c r="A88" s="24" t="inlineStr">
        <is>
          <t>The Jackson Clinic</t>
        </is>
      </c>
      <c r="B88" s="24" t="inlineStr">
        <is>
          <t>General Gyn</t>
        </is>
      </c>
      <c r="C88" s="25" t="n">
        <v>1</v>
      </c>
      <c r="D88" s="25" t="n">
        <v>1</v>
      </c>
      <c r="E88" s="25" t="n">
        <v>1</v>
      </c>
      <c r="F88" s="25" t="n">
        <v>0</v>
      </c>
      <c r="G88" s="25" t="n">
        <v>0</v>
      </c>
      <c r="H88" s="25" t="n">
        <v>3</v>
      </c>
      <c r="I88" s="33" t="n">
        <v>0.6774193548387096</v>
      </c>
      <c r="J88" s="25" t="n">
        <v>43</v>
      </c>
      <c r="K88" s="34" t="n">
        <v>18.75975359342916</v>
      </c>
      <c r="L88" s="33" t="n">
        <v>2.292140980735552</v>
      </c>
    </row>
    <row r="89">
      <c r="A89" s="22" t="inlineStr">
        <is>
          <t>Univ. of Florida Jacksonville</t>
        </is>
      </c>
      <c r="B89" s="22" t="inlineStr">
        <is>
          <t>Gyn/Onc</t>
        </is>
      </c>
      <c r="C89" s="23" t="n">
        <v>0</v>
      </c>
      <c r="D89" s="23" t="n">
        <v>2</v>
      </c>
      <c r="E89" s="23" t="n">
        <v>0</v>
      </c>
      <c r="F89" s="23" t="n">
        <v>1</v>
      </c>
      <c r="G89" s="23" t="n">
        <v>3</v>
      </c>
      <c r="H89" s="23" t="n">
        <v>6</v>
      </c>
      <c r="I89" s="31" t="n">
        <v>1.354838709677419</v>
      </c>
      <c r="J89" s="23" t="n">
        <v>39</v>
      </c>
      <c r="K89" s="32" t="n">
        <v>13.56878850102669</v>
      </c>
      <c r="L89" s="31" t="n">
        <v>2.874243341404358</v>
      </c>
    </row>
    <row r="90">
      <c r="A90" s="24" t="inlineStr">
        <is>
          <t>Vast Clinical Research</t>
        </is>
      </c>
      <c r="B90" s="24" t="inlineStr">
        <is>
          <t>General Gyn</t>
        </is>
      </c>
      <c r="C90" s="25" t="n">
        <v>1</v>
      </c>
      <c r="D90" s="25" t="n">
        <v>0</v>
      </c>
      <c r="E90" s="25" t="n">
        <v>0</v>
      </c>
      <c r="F90" s="25" t="n">
        <v>0</v>
      </c>
      <c r="G90" s="25" t="n">
        <v>0</v>
      </c>
      <c r="H90" s="25" t="n">
        <v>1</v>
      </c>
      <c r="I90" s="33" t="n">
        <v>0.2258064516129032</v>
      </c>
      <c r="J90" s="25" t="n">
        <v>14</v>
      </c>
      <c r="K90" s="34" t="n">
        <v>22.83367556468172</v>
      </c>
      <c r="L90" s="33" t="n">
        <v>0.6131294964028777</v>
      </c>
    </row>
    <row r="91">
      <c r="A91" s="22" t="inlineStr">
        <is>
          <t>Velocity Clinical Research</t>
        </is>
      </c>
      <c r="B91" s="22" t="inlineStr">
        <is>
          <t>Gyn/Onc</t>
        </is>
      </c>
      <c r="C91" s="23" t="n">
        <v>1</v>
      </c>
      <c r="D91" s="23" t="n">
        <v>1</v>
      </c>
      <c r="E91" s="23" t="n">
        <v>1</v>
      </c>
      <c r="F91" s="23" t="n">
        <v>0</v>
      </c>
      <c r="G91" s="23" t="n">
        <v>2</v>
      </c>
      <c r="H91" s="23" t="n">
        <v>5</v>
      </c>
      <c r="I91" s="31" t="n">
        <v>1.129032258064516</v>
      </c>
      <c r="J91" s="23" t="n">
        <v>40</v>
      </c>
      <c r="K91" s="32" t="n">
        <v>14.78439425051335</v>
      </c>
      <c r="L91" s="31" t="n">
        <v>2.705555555555555</v>
      </c>
    </row>
    <row r="92">
      <c r="A92" s="24" t="inlineStr">
        <is>
          <t>Virginia Women's Health Associates</t>
        </is>
      </c>
      <c r="B92" s="24" t="inlineStr">
        <is>
          <t>General Gyn</t>
        </is>
      </c>
      <c r="C92" s="25" t="n">
        <v>0</v>
      </c>
      <c r="D92" s="25" t="n">
        <v>0</v>
      </c>
      <c r="E92" s="25" t="n">
        <v>0</v>
      </c>
      <c r="F92" s="25" t="n">
        <v>0</v>
      </c>
      <c r="G92" s="25" t="n">
        <v>0</v>
      </c>
      <c r="H92" s="25" t="n">
        <v>0</v>
      </c>
      <c r="I92" s="33" t="n">
        <v>0</v>
      </c>
      <c r="J92" s="25" t="n">
        <v>17</v>
      </c>
      <c r="K92" s="34" t="n">
        <v>18.16837782340862</v>
      </c>
      <c r="L92" s="33" t="n">
        <v>0.9356916817359856</v>
      </c>
    </row>
    <row r="93">
      <c r="A93" s="22" t="inlineStr">
        <is>
          <t>Women's Center of Nevada</t>
        </is>
      </c>
      <c r="B93" s="22" t="inlineStr">
        <is>
          <t>Gyn/Onc</t>
        </is>
      </c>
      <c r="C93" s="23" t="n">
        <v>0</v>
      </c>
      <c r="D93" s="23" t="n">
        <v>2</v>
      </c>
      <c r="E93" s="23" t="n">
        <v>0</v>
      </c>
      <c r="F93" s="23" t="n">
        <v>1</v>
      </c>
      <c r="G93" s="23" t="n">
        <v>2</v>
      </c>
      <c r="H93" s="23" t="n">
        <v>5</v>
      </c>
      <c r="I93" s="31" t="n">
        <v>1.129032258064516</v>
      </c>
      <c r="J93" s="23" t="n">
        <v>90</v>
      </c>
      <c r="K93" s="32" t="n">
        <v>22.86652977412731</v>
      </c>
      <c r="L93" s="31" t="n">
        <v>3.935883620689655</v>
      </c>
    </row>
    <row r="94">
      <c r="A94" s="24" t="inlineStr">
        <is>
          <t>Women's Health Pavilion</t>
        </is>
      </c>
      <c r="B94" s="24" t="inlineStr">
        <is>
          <t>General Gyn</t>
        </is>
      </c>
      <c r="C94" s="25" t="n">
        <v>1</v>
      </c>
      <c r="D94" s="25" t="n">
        <v>0</v>
      </c>
      <c r="E94" s="25" t="n">
        <v>0</v>
      </c>
      <c r="F94" s="25" t="n">
        <v>0</v>
      </c>
      <c r="G94" s="25" t="n">
        <v>0</v>
      </c>
      <c r="H94" s="25" t="n">
        <v>1</v>
      </c>
      <c r="I94" s="33" t="n">
        <v>0.2258064516129032</v>
      </c>
      <c r="J94" s="25" t="n">
        <v>18</v>
      </c>
      <c r="K94" s="34" t="n">
        <v>15.31006160164271</v>
      </c>
      <c r="L94" s="33" t="n">
        <v>1.175697424892704</v>
      </c>
    </row>
    <row r="95">
      <c r="A95" s="28" t="inlineStr">
        <is>
          <t>All sites</t>
        </is>
      </c>
      <c r="B95" s="28" t="inlineStr"/>
      <c r="C95" s="29" t="n">
        <v>9</v>
      </c>
      <c r="D95" s="29" t="n">
        <v>16</v>
      </c>
      <c r="E95" s="29" t="n">
        <v>12</v>
      </c>
      <c r="F95" s="29" t="n">
        <v>10</v>
      </c>
      <c r="G95" s="29" t="n">
        <v>19</v>
      </c>
      <c r="H95" s="29" t="n">
        <v>66</v>
      </c>
      <c r="I95" s="36" t="n">
        <v>14.90322580645161</v>
      </c>
      <c r="J95" s="29" t="n">
        <v>884</v>
      </c>
      <c r="K95" s="37" t="inlineStr">
        <is>
          <t>–</t>
        </is>
      </c>
      <c r="L95" s="37" t="inlineStr">
        <is>
          <t>–</t>
        </is>
      </c>
    </row>
    <row r="96">
      <c r="A96" s="28" t="inlineStr">
        <is>
          <t>Average per active site (21 sites)</t>
        </is>
      </c>
      <c r="B96" s="28" t="inlineStr"/>
      <c r="C96" s="36" t="n">
        <v>0.4285714285714285</v>
      </c>
      <c r="D96" s="36" t="n">
        <v>0.7619047619047619</v>
      </c>
      <c r="E96" s="36" t="n">
        <v>0.5714285714285714</v>
      </c>
      <c r="F96" s="36" t="n">
        <v>0.4761904761904762</v>
      </c>
      <c r="G96" s="36" t="n">
        <v>0.9047619047619048</v>
      </c>
      <c r="H96" s="36" t="n">
        <v>3.142857142857143</v>
      </c>
      <c r="I96" s="36" t="n">
        <v>0.7096774193548386</v>
      </c>
      <c r="J96" s="36" t="n">
        <v>42.09523809523809</v>
      </c>
      <c r="K96" s="37" t="inlineStr">
        <is>
          <t>–</t>
        </is>
      </c>
      <c r="L96" s="37" t="inlineStr">
        <is>
          <t>–</t>
        </is>
      </c>
    </row>
    <row r="99">
      <c r="A99" s="4" t="inlineStr">
        <is>
          <t>Enrollment by site type</t>
        </is>
      </c>
    </row>
    <row r="100" ht="26" customHeight="1">
      <c r="A100" s="19" t="inlineStr">
        <is>
          <t>Denominator for %: 884 participants enrolled to date. Month rates use active sites only. Enrolled to date includes terminated sites. Site types come from the CLEO-001 site list.</t>
        </is>
      </c>
    </row>
    <row r="101" ht="45" customHeight="1">
      <c r="A101" s="20" t="inlineStr">
        <is>
          <t>Group</t>
        </is>
      </c>
      <c r="B101" s="21" t="inlineStr">
        <is>
          <t>Active sites</t>
        </is>
      </c>
      <c r="C101" s="21" t="inlineStr">
        <is>
          <t>Enrolled Jul 2026</t>
        </is>
      </c>
      <c r="D101" s="21" t="inlineStr">
        <is>
          <t>Per site per month</t>
        </is>
      </c>
      <c r="E101" s="21" t="inlineStr">
        <is>
          <t>Per site per week</t>
        </is>
      </c>
      <c r="F101" s="21" t="inlineStr">
        <is>
          <t>Enrolled to date</t>
        </is>
      </c>
      <c r="G101" s="21" t="inlineStr">
        <is>
          <t>% of all enrolled to date</t>
        </is>
      </c>
    </row>
    <row r="102">
      <c r="A102" s="22" t="inlineStr">
        <is>
          <t>General Gyn</t>
        </is>
      </c>
      <c r="B102" s="23" t="n">
        <v>10</v>
      </c>
      <c r="C102" s="23" t="n">
        <v>13</v>
      </c>
      <c r="D102" s="31" t="n">
        <v>1.3</v>
      </c>
      <c r="E102" s="31" t="n">
        <v>0.2935483870967742</v>
      </c>
      <c r="F102" s="23" t="n">
        <v>325</v>
      </c>
      <c r="G102" s="26" t="n">
        <v>0.3676470588235294</v>
      </c>
    </row>
    <row r="103">
      <c r="A103" s="24" t="inlineStr">
        <is>
          <t>Gyn/Onc</t>
        </is>
      </c>
      <c r="B103" s="25" t="n">
        <v>10</v>
      </c>
      <c r="C103" s="25" t="n">
        <v>53</v>
      </c>
      <c r="D103" s="33" t="n">
        <v>5.3</v>
      </c>
      <c r="E103" s="33" t="n">
        <v>1.196774193548387</v>
      </c>
      <c r="F103" s="25" t="n">
        <v>557</v>
      </c>
      <c r="G103" s="27" t="n">
        <v>0.6300904977375565</v>
      </c>
    </row>
    <row r="104">
      <c r="A104" s="22" t="inlineStr">
        <is>
          <t>General Onc</t>
        </is>
      </c>
      <c r="B104" s="23" t="n">
        <v>1</v>
      </c>
      <c r="C104" s="23" t="n">
        <v>0</v>
      </c>
      <c r="D104" s="31" t="n">
        <v>0</v>
      </c>
      <c r="E104" s="31" t="n">
        <v>0</v>
      </c>
      <c r="F104" s="23" t="n">
        <v>2</v>
      </c>
      <c r="G104" s="26" t="n">
        <v>0.002262443438914027</v>
      </c>
    </row>
    <row r="105">
      <c r="A105" s="24" t="inlineStr">
        <is>
          <t>Academic</t>
        </is>
      </c>
      <c r="B105" s="25" t="n">
        <v>6</v>
      </c>
      <c r="C105" s="25" t="n">
        <v>34</v>
      </c>
      <c r="D105" s="33" t="n">
        <v>5.666666666666667</v>
      </c>
      <c r="E105" s="33" t="n">
        <v>1.279569892473118</v>
      </c>
      <c r="F105" s="25" t="n">
        <v>333</v>
      </c>
      <c r="G105" s="27" t="n">
        <v>0.3766968325791855</v>
      </c>
    </row>
    <row r="106">
      <c r="A106" s="22" t="inlineStr">
        <is>
          <t>Non-academic</t>
        </is>
      </c>
      <c r="B106" s="23" t="n">
        <v>15</v>
      </c>
      <c r="C106" s="23" t="n">
        <v>32</v>
      </c>
      <c r="D106" s="31" t="n">
        <v>2.133333333333333</v>
      </c>
      <c r="E106" s="31" t="n">
        <v>0.4817204301075269</v>
      </c>
      <c r="F106" s="23" t="n">
        <v>551</v>
      </c>
      <c r="G106" s="26" t="n">
        <v>0.6233031674208145</v>
      </c>
    </row>
    <row r="109">
      <c r="A109" s="4" t="inlineStr">
        <is>
          <t>Enrollments by month</t>
        </is>
      </c>
    </row>
    <row r="110" ht="32" customHeight="1">
      <c r="A110" s="20" t="inlineStr">
        <is>
          <t>Month</t>
        </is>
      </c>
      <c r="B110" s="21" t="inlineStr">
        <is>
          <t>Consented</t>
        </is>
      </c>
      <c r="C110" s="21" t="inlineStr">
        <is>
          <t>Enrolled</t>
        </is>
      </c>
      <c r="D110" s="21" t="inlineStr">
        <is>
          <t>Cumulative enrolled</t>
        </is>
      </c>
    </row>
    <row r="111">
      <c r="A111" s="22" t="inlineStr">
        <is>
          <t>Sep 2024</t>
        </is>
      </c>
      <c r="B111" s="23" t="n">
        <v>9</v>
      </c>
      <c r="C111" s="23" t="n">
        <v>6</v>
      </c>
      <c r="D111" s="23" t="n">
        <v>6</v>
      </c>
    </row>
    <row r="112">
      <c r="A112" s="24" t="inlineStr">
        <is>
          <t>Oct 2024</t>
        </is>
      </c>
      <c r="B112" s="25" t="n">
        <v>8</v>
      </c>
      <c r="C112" s="25" t="n">
        <v>8</v>
      </c>
      <c r="D112" s="25" t="n">
        <v>14</v>
      </c>
    </row>
    <row r="113">
      <c r="A113" s="22" t="inlineStr">
        <is>
          <t>Nov 2024</t>
        </is>
      </c>
      <c r="B113" s="23" t="n">
        <v>9</v>
      </c>
      <c r="C113" s="23" t="n">
        <v>9</v>
      </c>
      <c r="D113" s="23" t="n">
        <v>23</v>
      </c>
    </row>
    <row r="114">
      <c r="A114" s="24" t="inlineStr">
        <is>
          <t>Dec 2024</t>
        </is>
      </c>
      <c r="B114" s="25" t="n">
        <v>8</v>
      </c>
      <c r="C114" s="25" t="n">
        <v>5</v>
      </c>
      <c r="D114" s="25" t="n">
        <v>28</v>
      </c>
    </row>
    <row r="115">
      <c r="A115" s="22" t="inlineStr">
        <is>
          <t>Jan 2025</t>
        </is>
      </c>
      <c r="B115" s="23" t="n">
        <v>20</v>
      </c>
      <c r="C115" s="23" t="n">
        <v>18</v>
      </c>
      <c r="D115" s="23" t="n">
        <v>46</v>
      </c>
    </row>
    <row r="116">
      <c r="A116" s="24" t="inlineStr">
        <is>
          <t>Feb 2025</t>
        </is>
      </c>
      <c r="B116" s="25" t="n">
        <v>21</v>
      </c>
      <c r="C116" s="25" t="n">
        <v>19</v>
      </c>
      <c r="D116" s="25" t="n">
        <v>65</v>
      </c>
    </row>
    <row r="117">
      <c r="A117" s="22" t="inlineStr">
        <is>
          <t>Mar 2025</t>
        </is>
      </c>
      <c r="B117" s="23" t="n">
        <v>14</v>
      </c>
      <c r="C117" s="23" t="n">
        <v>12</v>
      </c>
      <c r="D117" s="23" t="n">
        <v>77</v>
      </c>
    </row>
    <row r="118">
      <c r="A118" s="24" t="inlineStr">
        <is>
          <t>Apr 2025</t>
        </is>
      </c>
      <c r="B118" s="25" t="n">
        <v>25</v>
      </c>
      <c r="C118" s="25" t="n">
        <v>22</v>
      </c>
      <c r="D118" s="25" t="n">
        <v>99</v>
      </c>
    </row>
    <row r="119">
      <c r="A119" s="22" t="inlineStr">
        <is>
          <t>May 2025</t>
        </is>
      </c>
      <c r="B119" s="23" t="n">
        <v>43</v>
      </c>
      <c r="C119" s="23" t="n">
        <v>38</v>
      </c>
      <c r="D119" s="23" t="n">
        <v>137</v>
      </c>
    </row>
    <row r="120">
      <c r="A120" s="24" t="inlineStr">
        <is>
          <t>Jun 2025</t>
        </is>
      </c>
      <c r="B120" s="25" t="n">
        <v>38</v>
      </c>
      <c r="C120" s="25" t="n">
        <v>36</v>
      </c>
      <c r="D120" s="25" t="n">
        <v>173</v>
      </c>
    </row>
    <row r="121">
      <c r="A121" s="22" t="inlineStr">
        <is>
          <t>Jul 2025</t>
        </is>
      </c>
      <c r="B121" s="23" t="n">
        <v>41</v>
      </c>
      <c r="C121" s="23" t="n">
        <v>40</v>
      </c>
      <c r="D121" s="23" t="n">
        <v>213</v>
      </c>
    </row>
    <row r="122">
      <c r="A122" s="24" t="inlineStr">
        <is>
          <t>Aug 2025</t>
        </is>
      </c>
      <c r="B122" s="25" t="n">
        <v>29</v>
      </c>
      <c r="C122" s="25" t="n">
        <v>29</v>
      </c>
      <c r="D122" s="25" t="n">
        <v>242</v>
      </c>
    </row>
    <row r="123">
      <c r="A123" s="22" t="inlineStr">
        <is>
          <t>Sep 2025</t>
        </is>
      </c>
      <c r="B123" s="23" t="n">
        <v>42</v>
      </c>
      <c r="C123" s="23" t="n">
        <v>37</v>
      </c>
      <c r="D123" s="23" t="n">
        <v>279</v>
      </c>
    </row>
    <row r="124">
      <c r="A124" s="24" t="inlineStr">
        <is>
          <t>Oct 2025</t>
        </is>
      </c>
      <c r="B124" s="25" t="n">
        <v>50</v>
      </c>
      <c r="C124" s="25" t="n">
        <v>39</v>
      </c>
      <c r="D124" s="25" t="n">
        <v>318</v>
      </c>
    </row>
    <row r="125">
      <c r="A125" s="22" t="inlineStr">
        <is>
          <t>Nov 2025</t>
        </is>
      </c>
      <c r="B125" s="23" t="n">
        <v>67</v>
      </c>
      <c r="C125" s="23" t="n">
        <v>64</v>
      </c>
      <c r="D125" s="23" t="n">
        <v>382</v>
      </c>
    </row>
    <row r="126">
      <c r="A126" s="24" t="inlineStr">
        <is>
          <t>Dec 2025</t>
        </is>
      </c>
      <c r="B126" s="25" t="n">
        <v>46</v>
      </c>
      <c r="C126" s="25" t="n">
        <v>40</v>
      </c>
      <c r="D126" s="25" t="n">
        <v>422</v>
      </c>
    </row>
    <row r="127">
      <c r="A127" s="22" t="inlineStr">
        <is>
          <t>Jan 2026</t>
        </is>
      </c>
      <c r="B127" s="23" t="n">
        <v>72</v>
      </c>
      <c r="C127" s="23" t="n">
        <v>64</v>
      </c>
      <c r="D127" s="23" t="n">
        <v>486</v>
      </c>
    </row>
    <row r="128">
      <c r="A128" s="24" t="inlineStr">
        <is>
          <t>Feb 2026</t>
        </is>
      </c>
      <c r="B128" s="25" t="n">
        <v>71</v>
      </c>
      <c r="C128" s="25" t="n">
        <v>62</v>
      </c>
      <c r="D128" s="25" t="n">
        <v>548</v>
      </c>
    </row>
    <row r="129">
      <c r="A129" s="22" t="inlineStr">
        <is>
          <t>Mar 2026</t>
        </is>
      </c>
      <c r="B129" s="23" t="n">
        <v>98</v>
      </c>
      <c r="C129" s="23" t="n">
        <v>85</v>
      </c>
      <c r="D129" s="23" t="n">
        <v>633</v>
      </c>
    </row>
    <row r="130">
      <c r="A130" s="24" t="inlineStr">
        <is>
          <t>Apr 2026</t>
        </is>
      </c>
      <c r="B130" s="25" t="n">
        <v>77</v>
      </c>
      <c r="C130" s="25" t="n">
        <v>77</v>
      </c>
      <c r="D130" s="25" t="n">
        <v>710</v>
      </c>
    </row>
    <row r="131">
      <c r="A131" s="22" t="inlineStr">
        <is>
          <t>May 2026</t>
        </is>
      </c>
      <c r="B131" s="23" t="n">
        <v>53</v>
      </c>
      <c r="C131" s="23" t="n">
        <v>48</v>
      </c>
      <c r="D131" s="23" t="n">
        <v>758</v>
      </c>
    </row>
    <row r="132">
      <c r="A132" s="24" t="inlineStr">
        <is>
          <t>Jun 2026</t>
        </is>
      </c>
      <c r="B132" s="25" t="n">
        <v>61</v>
      </c>
      <c r="C132" s="25" t="n">
        <v>60</v>
      </c>
      <c r="D132" s="25" t="n">
        <v>818</v>
      </c>
    </row>
    <row r="133">
      <c r="A133" s="22" t="inlineStr">
        <is>
          <t>Jul 2026</t>
        </is>
      </c>
      <c r="B133" s="23" t="n">
        <v>72</v>
      </c>
      <c r="C133" s="23" t="n">
        <v>66</v>
      </c>
      <c r="D133" s="23" t="n">
        <v>884</v>
      </c>
    </row>
  </sheetData>
  <mergeCells count="4">
    <mergeCell ref="A100:G100"/>
    <mergeCell ref="A71:L71"/>
    <mergeCell ref="A22:F22"/>
    <mergeCell ref="A5:F5"/>
  </mergeCells>
  <conditionalFormatting sqref="D16:D18">
    <cfRule type="dataBar" priority="1">
      <dataBar showValue="1">
        <cfvo type="num" val="0"/>
        <cfvo type="num" val="1"/>
        <color rgb="0086B6EF"/>
      </dataBar>
    </cfRule>
  </conditionalFormatting>
  <conditionalFormatting sqref="C24:C28">
    <cfRule type="dataBar" priority="2">
      <dataBar showValue="1">
        <cfvo type="num" val="0"/>
        <cfvo type="num" val="1"/>
        <color rgb="0086B6EF"/>
      </dataBar>
    </cfRule>
  </conditionalFormatting>
  <conditionalFormatting sqref="G102:G106">
    <cfRule type="dataBar" priority="3">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60"/>
  <sheetViews>
    <sheetView showGridLines="0" zoomScale="100" workbookViewId="0">
      <selection activeCell="A1" sqref="A1"/>
    </sheetView>
  </sheetViews>
  <sheetFormatPr baseColWidth="8" defaultRowHeight="15"/>
  <cols>
    <col width="40" customWidth="1" min="1" max="1"/>
    <col width="12" customWidth="1" min="2" max="2"/>
    <col width="12" customWidth="1" min="3" max="3"/>
    <col width="30" customWidth="1" min="4" max="4"/>
    <col width="12" customWidth="1" min="5" max="5"/>
    <col width="12" customWidth="1" min="6" max="6"/>
    <col width="12" customWidth="1" min="7" max="7"/>
    <col width="12" customWidth="1" min="8" max="8"/>
    <col width="12" customWidth="1" min="9" max="9"/>
  </cols>
  <sheetData>
    <row r="1" ht="24" customHeight="1">
      <c r="A1" s="1" t="inlineStr">
        <is>
          <t>Post-surgical findings</t>
        </is>
      </c>
    </row>
    <row r="2">
      <c r="A2" s="2" t="inlineStr">
        <is>
          <t>Reporting month July 2026 · Data to 31 Jul 2026 · Citrus export 03 Aug 2026 13:57 UTC · Inventory report 03AUG2026</t>
        </is>
      </c>
    </row>
    <row r="3">
      <c r="A3" s="18" t="inlineStr">
        <is>
          <t>Surgeries, pathology report uploads and turnaround for enrolled participants.</t>
        </is>
      </c>
    </row>
    <row r="4">
      <c r="A4" s="4" t="inlineStr">
        <is>
          <t>Surgery and pathology reports</t>
        </is>
      </c>
    </row>
    <row r="5" ht="13" customHeight="1">
      <c r="A5" s="19" t="inlineStr">
        <is>
          <t>Surgery complete = a surgery date is entered. Report uploaded = Post-Surgical Findings form complete with a report file.</t>
        </is>
      </c>
    </row>
    <row r="6" ht="19" customHeight="1">
      <c r="A6" s="20" t="inlineStr">
        <is>
          <t>Measure</t>
        </is>
      </c>
      <c r="B6" s="21" t="inlineStr">
        <is>
          <t>July 2026</t>
        </is>
      </c>
      <c r="C6" s="21" t="inlineStr">
        <is>
          <t>To date</t>
        </is>
      </c>
      <c r="D6" s="21" t="inlineStr">
        <is>
          <t>Denominator (to date)</t>
        </is>
      </c>
      <c r="E6" s="21" t="inlineStr">
        <is>
          <t>% (to date)</t>
        </is>
      </c>
    </row>
    <row r="7">
      <c r="A7" s="22" t="inlineStr">
        <is>
          <t>Participants enrolled</t>
        </is>
      </c>
      <c r="B7" s="23" t="n">
        <v>66</v>
      </c>
      <c r="C7" s="23" t="n">
        <v>884</v>
      </c>
      <c r="D7" s="22" t="inlineStr"/>
      <c r="E7" s="38" t="inlineStr">
        <is>
          <t>–</t>
        </is>
      </c>
    </row>
    <row r="8">
      <c r="A8" s="24" t="inlineStr">
        <is>
          <t>Surgery complete</t>
        </is>
      </c>
      <c r="B8" s="25" t="n">
        <v>40</v>
      </c>
      <c r="C8" s="25" t="n">
        <v>797</v>
      </c>
      <c r="D8" s="24" t="inlineStr">
        <is>
          <t>884 enrolled</t>
        </is>
      </c>
      <c r="E8" s="27" t="n">
        <v>0.9015837104072398</v>
      </c>
    </row>
    <row r="9">
      <c r="A9" s="22" t="inlineStr">
        <is>
          <t>Pathology report uploaded</t>
        </is>
      </c>
      <c r="B9" s="23" t="n">
        <v>48</v>
      </c>
      <c r="C9" s="23" t="n">
        <v>687</v>
      </c>
      <c r="D9" s="22" t="inlineStr">
        <is>
          <t>797 with surgery complete</t>
        </is>
      </c>
      <c r="E9" s="26" t="n">
        <v>0.8619824341279799</v>
      </c>
    </row>
    <row r="10">
      <c r="A10" s="24" t="inlineStr">
        <is>
          <t>Awaiting pathology report</t>
        </is>
      </c>
      <c r="B10" s="35" t="inlineStr">
        <is>
          <t>–</t>
        </is>
      </c>
      <c r="C10" s="25" t="n">
        <v>110</v>
      </c>
      <c r="D10" s="24" t="inlineStr">
        <is>
          <t>797 with surgery complete</t>
        </is>
      </c>
      <c r="E10" s="27" t="n">
        <v>0.1380175658720201</v>
      </c>
    </row>
    <row r="29">
      <c r="A29" s="4" t="inlineStr">
        <is>
          <t>Days from enrollment to pathology report upload</t>
        </is>
      </c>
    </row>
    <row r="30" ht="13" customHeight="1">
      <c r="A30" s="19" t="inlineStr">
        <is>
          <t>Upload date = 'Completed At' on the Post-Surgical Findings form.</t>
        </is>
      </c>
    </row>
    <row r="31" ht="19" customHeight="1">
      <c r="A31" s="20" t="inlineStr">
        <is>
          <t>Reports uploaded</t>
        </is>
      </c>
      <c r="B31" s="21" t="inlineStr">
        <is>
          <t>Reports</t>
        </is>
      </c>
      <c r="C31" s="21" t="inlineStr">
        <is>
          <t>Mean days</t>
        </is>
      </c>
      <c r="D31" s="21" t="inlineStr">
        <is>
          <t>Median days</t>
        </is>
      </c>
      <c r="E31" s="21" t="inlineStr">
        <is>
          <t>Shortest</t>
        </is>
      </c>
      <c r="F31" s="21" t="inlineStr">
        <is>
          <t>Longest</t>
        </is>
      </c>
    </row>
    <row r="32">
      <c r="A32" s="22" t="inlineStr">
        <is>
          <t>In July 2026</t>
        </is>
      </c>
      <c r="B32" s="23" t="n">
        <v>48</v>
      </c>
      <c r="C32" s="32" t="n">
        <v>48.03803505979938</v>
      </c>
      <c r="D32" s="32" t="n">
        <v>44.92090856481482</v>
      </c>
      <c r="E32" s="32" t="n">
        <v>21.91261574074074</v>
      </c>
      <c r="F32" s="32" t="n">
        <v>91.83025462962964</v>
      </c>
    </row>
    <row r="33">
      <c r="A33" s="24" t="inlineStr">
        <is>
          <t>To date</t>
        </is>
      </c>
      <c r="B33" s="25" t="n">
        <v>687</v>
      </c>
      <c r="C33" s="34" t="n">
        <v>46.29641835476306</v>
      </c>
      <c r="D33" s="34" t="n">
        <v>45.08094907407408</v>
      </c>
      <c r="E33" s="34" t="n">
        <v>17.91072916666667</v>
      </c>
      <c r="F33" s="34" t="n">
        <v>91.83025462962964</v>
      </c>
    </row>
    <row r="36">
      <c r="A36" s="4" t="inlineStr">
        <is>
          <t>Surgery and pathology reports by site</t>
        </is>
      </c>
    </row>
    <row r="37" ht="32" customHeight="1">
      <c r="A37" s="20" t="inlineStr">
        <is>
          <t>Site</t>
        </is>
      </c>
      <c r="B37" s="21" t="inlineStr">
        <is>
          <t>Enrolled</t>
        </is>
      </c>
      <c r="C37" s="21" t="inlineStr">
        <is>
          <t>Surgery complete</t>
        </is>
      </c>
      <c r="D37" s="21" t="inlineStr">
        <is>
          <t>% of enrolled</t>
        </is>
      </c>
      <c r="E37" s="21" t="inlineStr">
        <is>
          <t>Report uploaded</t>
        </is>
      </c>
      <c r="F37" s="21" t="inlineStr">
        <is>
          <t>% of surgeries</t>
        </is>
      </c>
      <c r="G37" s="21" t="inlineStr">
        <is>
          <t>Awaiting report</t>
        </is>
      </c>
      <c r="H37" s="21" t="inlineStr">
        <is>
          <t>Median days to upload</t>
        </is>
      </c>
      <c r="I37" s="21" t="inlineStr">
        <is>
          <t>Mean days to upload</t>
        </is>
      </c>
    </row>
    <row r="38">
      <c r="A38" s="22" t="inlineStr">
        <is>
          <t>AP Medical Research</t>
        </is>
      </c>
      <c r="B38" s="23" t="n">
        <v>2</v>
      </c>
      <c r="C38" s="23" t="n">
        <v>2</v>
      </c>
      <c r="D38" s="26" t="n">
        <v>1</v>
      </c>
      <c r="E38" s="23" t="n">
        <v>2</v>
      </c>
      <c r="F38" s="26" t="n">
        <v>1</v>
      </c>
      <c r="G38" s="23" t="n">
        <v>0</v>
      </c>
      <c r="H38" s="32" t="n">
        <v>51.05510995370371</v>
      </c>
      <c r="I38" s="32" t="n">
        <v>51.05510995370371</v>
      </c>
    </row>
    <row r="39">
      <c r="A39" s="24" t="inlineStr">
        <is>
          <t>Beth Israel Deaconess</t>
        </is>
      </c>
      <c r="B39" s="25" t="n">
        <v>59</v>
      </c>
      <c r="C39" s="25" t="n">
        <v>56</v>
      </c>
      <c r="D39" s="27" t="n">
        <v>0.9491525423728814</v>
      </c>
      <c r="E39" s="25" t="n">
        <v>48</v>
      </c>
      <c r="F39" s="27" t="n">
        <v>0.8571428571428571</v>
      </c>
      <c r="G39" s="25" t="n">
        <v>8</v>
      </c>
      <c r="H39" s="34" t="n">
        <v>45.96941550925926</v>
      </c>
      <c r="I39" s="34" t="n">
        <v>46.97403862847222</v>
      </c>
    </row>
    <row r="40">
      <c r="A40" s="22" t="inlineStr">
        <is>
          <t>Cleveland Clinic</t>
        </is>
      </c>
      <c r="B40" s="23" t="n">
        <v>63</v>
      </c>
      <c r="C40" s="23" t="n">
        <v>50</v>
      </c>
      <c r="D40" s="26" t="n">
        <v>0.7936507936507936</v>
      </c>
      <c r="E40" s="23" t="n">
        <v>41</v>
      </c>
      <c r="F40" s="26" t="n">
        <v>0.82</v>
      </c>
      <c r="G40" s="23" t="n">
        <v>9</v>
      </c>
      <c r="H40" s="32" t="n">
        <v>44.99353009259259</v>
      </c>
      <c r="I40" s="32" t="n">
        <v>45.53551744579946</v>
      </c>
    </row>
    <row r="41">
      <c r="A41" s="24" t="inlineStr">
        <is>
          <t>Columbia University Irving Medical Center</t>
        </is>
      </c>
      <c r="B41" s="25" t="n">
        <v>68</v>
      </c>
      <c r="C41" s="25" t="n">
        <v>65</v>
      </c>
      <c r="D41" s="27" t="n">
        <v>0.9558823529411765</v>
      </c>
      <c r="E41" s="25" t="n">
        <v>57</v>
      </c>
      <c r="F41" s="27" t="n">
        <v>0.8769230769230769</v>
      </c>
      <c r="G41" s="25" t="n">
        <v>8</v>
      </c>
      <c r="H41" s="34" t="n">
        <v>45.10862268518518</v>
      </c>
      <c r="I41" s="34" t="n">
        <v>45.26733572936972</v>
      </c>
    </row>
    <row r="42">
      <c r="A42" s="22" t="inlineStr">
        <is>
          <t>Duke University Medical Center</t>
        </is>
      </c>
      <c r="B42" s="23" t="n">
        <v>60</v>
      </c>
      <c r="C42" s="23" t="n">
        <v>50</v>
      </c>
      <c r="D42" s="26" t="n">
        <v>0.8333333333333334</v>
      </c>
      <c r="E42" s="23" t="n">
        <v>35</v>
      </c>
      <c r="F42" s="26" t="n">
        <v>0.7</v>
      </c>
      <c r="G42" s="23" t="n">
        <v>15</v>
      </c>
      <c r="H42" s="32" t="n">
        <v>45.94103009259259</v>
      </c>
      <c r="I42" s="32" t="n">
        <v>48.0957328042328</v>
      </c>
    </row>
    <row r="43">
      <c r="A43" s="24" t="inlineStr">
        <is>
          <t>ES Clinical Research Group</t>
        </is>
      </c>
      <c r="B43" s="25" t="n">
        <v>1</v>
      </c>
      <c r="C43" s="25" t="n">
        <v>0</v>
      </c>
      <c r="D43" s="27" t="n">
        <v>0</v>
      </c>
      <c r="E43" s="25" t="n">
        <v>0</v>
      </c>
      <c r="F43" s="35" t="inlineStr">
        <is>
          <t>–</t>
        </is>
      </c>
      <c r="G43" s="25" t="n">
        <v>0</v>
      </c>
      <c r="H43" s="35" t="inlineStr">
        <is>
          <t>–</t>
        </is>
      </c>
      <c r="I43" s="35" t="inlineStr">
        <is>
          <t>–</t>
        </is>
      </c>
    </row>
    <row r="44">
      <c r="A44" s="22" t="inlineStr">
        <is>
          <t>Eastern Carolina Women's</t>
        </is>
      </c>
      <c r="B44" s="23" t="n">
        <v>1</v>
      </c>
      <c r="C44" s="23" t="n">
        <v>1</v>
      </c>
      <c r="D44" s="26" t="n">
        <v>1</v>
      </c>
      <c r="E44" s="23" t="n">
        <v>0</v>
      </c>
      <c r="F44" s="26" t="n">
        <v>0</v>
      </c>
      <c r="G44" s="23" t="n">
        <v>1</v>
      </c>
      <c r="H44" s="38" t="inlineStr">
        <is>
          <t>–</t>
        </is>
      </c>
      <c r="I44" s="38" t="inlineStr">
        <is>
          <t>–</t>
        </is>
      </c>
    </row>
    <row r="45">
      <c r="A45" s="24" t="inlineStr">
        <is>
          <t>Emerald Coast Clinical Research</t>
        </is>
      </c>
      <c r="B45" s="25" t="n">
        <v>68</v>
      </c>
      <c r="C45" s="25" t="n">
        <v>65</v>
      </c>
      <c r="D45" s="27" t="n">
        <v>0.9558823529411765</v>
      </c>
      <c r="E45" s="25" t="n">
        <v>64</v>
      </c>
      <c r="F45" s="27" t="n">
        <v>0.9846153846153847</v>
      </c>
      <c r="G45" s="25" t="n">
        <v>1</v>
      </c>
      <c r="H45" s="34" t="n">
        <v>47.96430555555555</v>
      </c>
      <c r="I45" s="34" t="n">
        <v>48.19669524016204</v>
      </c>
    </row>
    <row r="46">
      <c r="A46" s="22" t="inlineStr">
        <is>
          <t>HCA Florida Physicians</t>
        </is>
      </c>
      <c r="B46" s="23" t="n">
        <v>54</v>
      </c>
      <c r="C46" s="23" t="n">
        <v>44</v>
      </c>
      <c r="D46" s="26" t="n">
        <v>0.8148148148148148</v>
      </c>
      <c r="E46" s="23" t="n">
        <v>40</v>
      </c>
      <c r="F46" s="26" t="n">
        <v>0.9090909090909091</v>
      </c>
      <c r="G46" s="23" t="n">
        <v>4</v>
      </c>
      <c r="H46" s="32" t="n">
        <v>39.49381944444444</v>
      </c>
      <c r="I46" s="32" t="n">
        <v>42.60301736111111</v>
      </c>
    </row>
    <row r="47">
      <c r="A47" s="24" t="inlineStr">
        <is>
          <t>Maximos Obgyn</t>
        </is>
      </c>
      <c r="B47" s="25" t="n">
        <v>29</v>
      </c>
      <c r="C47" s="25" t="n">
        <v>29</v>
      </c>
      <c r="D47" s="27" t="n">
        <v>1</v>
      </c>
      <c r="E47" s="25" t="n">
        <v>27</v>
      </c>
      <c r="F47" s="27" t="n">
        <v>0.9310344827586207</v>
      </c>
      <c r="G47" s="25" t="n">
        <v>2</v>
      </c>
      <c r="H47" s="34" t="n">
        <v>54.8584837962963</v>
      </c>
      <c r="I47" s="34" t="n">
        <v>50.42672282235939</v>
      </c>
    </row>
    <row r="48">
      <c r="A48" s="22" t="inlineStr">
        <is>
          <t>New Horizons Clinical Research</t>
        </is>
      </c>
      <c r="B48" s="23" t="n">
        <v>100</v>
      </c>
      <c r="C48" s="23" t="n">
        <v>92</v>
      </c>
      <c r="D48" s="26" t="n">
        <v>0.92</v>
      </c>
      <c r="E48" s="23" t="n">
        <v>78</v>
      </c>
      <c r="F48" s="26" t="n">
        <v>0.8478260869565217</v>
      </c>
      <c r="G48" s="23" t="n">
        <v>14</v>
      </c>
      <c r="H48" s="32" t="n">
        <v>45.56100694444444</v>
      </c>
      <c r="I48" s="32" t="n">
        <v>48.04500163224122</v>
      </c>
    </row>
    <row r="49">
      <c r="A49" s="24" t="inlineStr">
        <is>
          <t>Next Innovative Clinical Research</t>
        </is>
      </c>
      <c r="B49" s="25" t="n">
        <v>17</v>
      </c>
      <c r="C49" s="25" t="n">
        <v>17</v>
      </c>
      <c r="D49" s="27" t="n">
        <v>1</v>
      </c>
      <c r="E49" s="25" t="n">
        <v>12</v>
      </c>
      <c r="F49" s="27" t="n">
        <v>0.7058823529411765</v>
      </c>
      <c r="G49" s="25" t="n">
        <v>5</v>
      </c>
      <c r="H49" s="34" t="n">
        <v>37.95096064814815</v>
      </c>
      <c r="I49" s="34" t="n">
        <v>43.20006076388889</v>
      </c>
    </row>
    <row r="50">
      <c r="A50" s="22" t="inlineStr">
        <is>
          <t>Prime Clinical Research</t>
        </is>
      </c>
      <c r="B50" s="23" t="n">
        <v>17</v>
      </c>
      <c r="C50" s="23" t="n">
        <v>17</v>
      </c>
      <c r="D50" s="26" t="n">
        <v>1</v>
      </c>
      <c r="E50" s="23" t="n">
        <v>15</v>
      </c>
      <c r="F50" s="26" t="n">
        <v>0.8823529411764706</v>
      </c>
      <c r="G50" s="23" t="n">
        <v>2</v>
      </c>
      <c r="H50" s="32" t="n">
        <v>47.93609953703704</v>
      </c>
      <c r="I50" s="32" t="n">
        <v>51.35734027777777</v>
      </c>
    </row>
    <row r="51">
      <c r="A51" s="24" t="inlineStr">
        <is>
          <t>RUSH University Medical Center</t>
        </is>
      </c>
      <c r="B51" s="25" t="n">
        <v>44</v>
      </c>
      <c r="C51" s="25" t="n">
        <v>41</v>
      </c>
      <c r="D51" s="27" t="n">
        <v>0.9318181818181818</v>
      </c>
      <c r="E51" s="25" t="n">
        <v>36</v>
      </c>
      <c r="F51" s="27" t="n">
        <v>0.8780487804878049</v>
      </c>
      <c r="G51" s="25" t="n">
        <v>5</v>
      </c>
      <c r="H51" s="34" t="n">
        <v>47.00888888888889</v>
      </c>
      <c r="I51" s="34" t="n">
        <v>45.36607156635802</v>
      </c>
    </row>
    <row r="52">
      <c r="A52" s="22" t="inlineStr">
        <is>
          <t>Springfield Clinic</t>
        </is>
      </c>
      <c r="B52" s="23" t="n">
        <v>40</v>
      </c>
      <c r="C52" s="23" t="n">
        <v>37</v>
      </c>
      <c r="D52" s="26" t="n">
        <v>0.925</v>
      </c>
      <c r="E52" s="23" t="n">
        <v>34</v>
      </c>
      <c r="F52" s="26" t="n">
        <v>0.918918918918919</v>
      </c>
      <c r="G52" s="23" t="n">
        <v>3</v>
      </c>
      <c r="H52" s="32" t="n">
        <v>42.35318287037037</v>
      </c>
      <c r="I52" s="32" t="n">
        <v>44.57592456427015</v>
      </c>
    </row>
    <row r="53">
      <c r="A53" s="24" t="inlineStr">
        <is>
          <t>The Jackson Clinic</t>
        </is>
      </c>
      <c r="B53" s="25" t="n">
        <v>43</v>
      </c>
      <c r="C53" s="25" t="n">
        <v>39</v>
      </c>
      <c r="D53" s="27" t="n">
        <v>0.9069767441860465</v>
      </c>
      <c r="E53" s="25" t="n">
        <v>31</v>
      </c>
      <c r="F53" s="27" t="n">
        <v>0.7948717948717948</v>
      </c>
      <c r="G53" s="25" t="n">
        <v>8</v>
      </c>
      <c r="H53" s="34" t="n">
        <v>44.21032407407407</v>
      </c>
      <c r="I53" s="34" t="n">
        <v>44.19891801075268</v>
      </c>
    </row>
    <row r="54">
      <c r="A54" s="22" t="inlineStr">
        <is>
          <t>Univ. of Florida Jacksonville</t>
        </is>
      </c>
      <c r="B54" s="23" t="n">
        <v>39</v>
      </c>
      <c r="C54" s="23" t="n">
        <v>29</v>
      </c>
      <c r="D54" s="26" t="n">
        <v>0.7435897435897436</v>
      </c>
      <c r="E54" s="23" t="n">
        <v>27</v>
      </c>
      <c r="F54" s="26" t="n">
        <v>0.9310344827586207</v>
      </c>
      <c r="G54" s="23" t="n">
        <v>2</v>
      </c>
      <c r="H54" s="32" t="n">
        <v>46.30258101851852</v>
      </c>
      <c r="I54" s="32" t="n">
        <v>48.84260416666667</v>
      </c>
    </row>
    <row r="55">
      <c r="A55" s="24" t="inlineStr">
        <is>
          <t>Vast Clinical Research</t>
        </is>
      </c>
      <c r="B55" s="25" t="n">
        <v>14</v>
      </c>
      <c r="C55" s="25" t="n">
        <v>13</v>
      </c>
      <c r="D55" s="27" t="n">
        <v>0.9285714285714286</v>
      </c>
      <c r="E55" s="25" t="n">
        <v>13</v>
      </c>
      <c r="F55" s="27" t="n">
        <v>1</v>
      </c>
      <c r="G55" s="25" t="n">
        <v>0</v>
      </c>
      <c r="H55" s="34" t="n">
        <v>46.00072916666667</v>
      </c>
      <c r="I55" s="34" t="n">
        <v>45.61114227207977</v>
      </c>
    </row>
    <row r="56">
      <c r="A56" s="22" t="inlineStr">
        <is>
          <t>Velocity Clinical Research</t>
        </is>
      </c>
      <c r="B56" s="23" t="n">
        <v>40</v>
      </c>
      <c r="C56" s="23" t="n">
        <v>34</v>
      </c>
      <c r="D56" s="26" t="n">
        <v>0.85</v>
      </c>
      <c r="E56" s="23" t="n">
        <v>28</v>
      </c>
      <c r="F56" s="26" t="n">
        <v>0.8235294117647058</v>
      </c>
      <c r="G56" s="23" t="n">
        <v>6</v>
      </c>
      <c r="H56" s="32" t="n">
        <v>47.12918981481481</v>
      </c>
      <c r="I56" s="32" t="n">
        <v>45.13099454365079</v>
      </c>
    </row>
    <row r="57">
      <c r="A57" s="24" t="inlineStr">
        <is>
          <t>Virginia Women's Health Associates</t>
        </is>
      </c>
      <c r="B57" s="25" t="n">
        <v>17</v>
      </c>
      <c r="C57" s="25" t="n">
        <v>17</v>
      </c>
      <c r="D57" s="27" t="n">
        <v>1</v>
      </c>
      <c r="E57" s="25" t="n">
        <v>15</v>
      </c>
      <c r="F57" s="27" t="n">
        <v>0.8823529411764706</v>
      </c>
      <c r="G57" s="25" t="n">
        <v>2</v>
      </c>
      <c r="H57" s="34" t="n">
        <v>43.02741898148148</v>
      </c>
      <c r="I57" s="34" t="n">
        <v>45.21893364197531</v>
      </c>
    </row>
    <row r="58">
      <c r="A58" s="22" t="inlineStr">
        <is>
          <t>Women's Center of Nevada</t>
        </is>
      </c>
      <c r="B58" s="23" t="n">
        <v>90</v>
      </c>
      <c r="C58" s="23" t="n">
        <v>82</v>
      </c>
      <c r="D58" s="26" t="n">
        <v>0.9111111111111111</v>
      </c>
      <c r="E58" s="23" t="n">
        <v>68</v>
      </c>
      <c r="F58" s="26" t="n">
        <v>0.8292682926829268</v>
      </c>
      <c r="G58" s="23" t="n">
        <v>14</v>
      </c>
      <c r="H58" s="32" t="n">
        <v>41.78660300925926</v>
      </c>
      <c r="I58" s="32" t="n">
        <v>44.62074635757081</v>
      </c>
    </row>
    <row r="59">
      <c r="A59" s="24" t="inlineStr">
        <is>
          <t>Women's Health Pavilion</t>
        </is>
      </c>
      <c r="B59" s="25" t="n">
        <v>18</v>
      </c>
      <c r="C59" s="25" t="n">
        <v>17</v>
      </c>
      <c r="D59" s="27" t="n">
        <v>0.9444444444444444</v>
      </c>
      <c r="E59" s="25" t="n">
        <v>16</v>
      </c>
      <c r="F59" s="27" t="n">
        <v>0.9411764705882353</v>
      </c>
      <c r="G59" s="25" t="n">
        <v>1</v>
      </c>
      <c r="H59" s="34" t="n">
        <v>44.99667824074074</v>
      </c>
      <c r="I59" s="34" t="n">
        <v>45.30902705439815</v>
      </c>
    </row>
    <row r="60">
      <c r="A60" s="28" t="inlineStr">
        <is>
          <t>All sites</t>
        </is>
      </c>
      <c r="B60" s="29" t="n">
        <v>884</v>
      </c>
      <c r="C60" s="29" t="n">
        <v>797</v>
      </c>
      <c r="D60" s="30" t="n">
        <v>0.9015837104072398</v>
      </c>
      <c r="E60" s="29" t="n">
        <v>687</v>
      </c>
      <c r="F60" s="30" t="n">
        <v>0.8619824341279799</v>
      </c>
      <c r="G60" s="29" t="n">
        <v>110</v>
      </c>
      <c r="H60" s="39" t="n">
        <v>45.08094907407408</v>
      </c>
      <c r="I60" s="39" t="n">
        <v>46.29641835476306</v>
      </c>
    </row>
  </sheetData>
  <mergeCells count="2">
    <mergeCell ref="A30:F30"/>
    <mergeCell ref="A5:F5"/>
  </mergeCells>
  <conditionalFormatting sqref="E7:E10">
    <cfRule type="dataBar" priority="1">
      <dataBar showValue="1">
        <cfvo type="num" val="0"/>
        <cfvo type="num" val="1"/>
        <color rgb="0086B6EF"/>
      </dataBar>
    </cfRule>
  </conditionalFormatting>
  <conditionalFormatting sqref="D38:D59">
    <cfRule type="dataBar" priority="2">
      <dataBar showValue="1">
        <cfvo type="num" val="0"/>
        <cfvo type="num" val="1"/>
        <color rgb="0086B6EF"/>
      </dataBar>
    </cfRule>
  </conditionalFormatting>
  <conditionalFormatting sqref="F38:F59">
    <cfRule type="dataBar" priority="3">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96"/>
  <sheetViews>
    <sheetView showGridLines="0" zoomScale="100"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4" customHeight="1">
      <c r="A1" s="1" t="inlineStr">
        <is>
          <t>Blood samples</t>
        </is>
      </c>
    </row>
    <row r="2">
      <c r="A2" s="2" t="inlineStr">
        <is>
          <t>Reporting month July 2026 · Data to 31 Jul 2026 · Citrus export 03 Aug 2026 13:57 UTC · Inventory report 03AUG2026</t>
        </is>
      </c>
    </row>
    <row r="3">
      <c r="A3" s="18" t="inlineStr">
        <is>
          <t>Central lab registration from the LabConnect inventory report dated 03AUG2026.</t>
        </is>
      </c>
    </row>
    <row r="4">
      <c r="A4" s="4" t="inlineStr">
        <is>
          <t>Sample registration at the central lab</t>
        </is>
      </c>
    </row>
    <row r="5" ht="26" customHeight="1">
      <c r="A5" s="19" t="inlineStr">
        <is>
          <t>July 2026 counts samples registered in the month. Each DX1 must be registered within 14 days of collection and each DX2 within 28 days. DX1 and DX2 must ship separately, so a same-day registration is a deviation.</t>
        </is>
      </c>
    </row>
    <row r="6" ht="32" customHeight="1">
      <c r="A6" s="20" t="inlineStr">
        <is>
          <t>Measure</t>
        </is>
      </c>
      <c r="B6" s="21" t="inlineStr">
        <is>
          <t>Jul 2026 n</t>
        </is>
      </c>
      <c r="C6" s="21" t="inlineStr">
        <is>
          <t>Jul 2026 denominator</t>
        </is>
      </c>
      <c r="D6" s="21" t="inlineStr">
        <is>
          <t>Jul 2026 %</t>
        </is>
      </c>
      <c r="E6" s="21" t="inlineStr">
        <is>
          <t>To date n</t>
        </is>
      </c>
      <c r="F6" s="21" t="inlineStr">
        <is>
          <t>To date denominator</t>
        </is>
      </c>
      <c r="G6" s="21" t="inlineStr">
        <is>
          <t>To date %</t>
        </is>
      </c>
    </row>
    <row r="7">
      <c r="A7" s="22" t="inlineStr">
        <is>
          <t>Samples registered (DX1 + DX2)</t>
        </is>
      </c>
      <c r="B7" s="23" t="n">
        <v>124</v>
      </c>
      <c r="C7" s="38" t="inlineStr">
        <is>
          <t>–</t>
        </is>
      </c>
      <c r="D7" s="38" t="inlineStr">
        <is>
          <t>–</t>
        </is>
      </c>
      <c r="E7" s="23" t="n">
        <v>1655</v>
      </c>
      <c r="F7" s="38" t="inlineStr">
        <is>
          <t>–</t>
        </is>
      </c>
      <c r="G7" s="38" t="inlineStr">
        <is>
          <t>–</t>
        </is>
      </c>
    </row>
    <row r="8">
      <c r="A8" s="24" t="inlineStr">
        <is>
          <t>DX1 registered within 14 days of collection</t>
        </is>
      </c>
      <c r="B8" s="25" t="n">
        <v>55</v>
      </c>
      <c r="C8" s="25" t="n">
        <v>61</v>
      </c>
      <c r="D8" s="27" t="n">
        <v>0.9016393442622951</v>
      </c>
      <c r="E8" s="25" t="n">
        <v>759</v>
      </c>
      <c r="F8" s="25" t="n">
        <v>851</v>
      </c>
      <c r="G8" s="27" t="n">
        <v>0.8918918918918919</v>
      </c>
    </row>
    <row r="9">
      <c r="A9" s="22" t="inlineStr">
        <is>
          <t>DX2 registered within 28 days of collection</t>
        </is>
      </c>
      <c r="B9" s="23" t="n">
        <v>53</v>
      </c>
      <c r="C9" s="23" t="n">
        <v>63</v>
      </c>
      <c r="D9" s="26" t="n">
        <v>0.8412698412698413</v>
      </c>
      <c r="E9" s="23" t="n">
        <v>666</v>
      </c>
      <c r="F9" s="23" t="n">
        <v>804</v>
      </c>
      <c r="G9" s="26" t="n">
        <v>0.8283582089552238</v>
      </c>
    </row>
    <row r="10">
      <c r="A10" s="24" t="inlineStr">
        <is>
          <t>All samples within their window</t>
        </is>
      </c>
      <c r="B10" s="25" t="n">
        <v>108</v>
      </c>
      <c r="C10" s="25" t="n">
        <v>124</v>
      </c>
      <c r="D10" s="27" t="n">
        <v>0.8709677419354839</v>
      </c>
      <c r="E10" s="25" t="n">
        <v>1425</v>
      </c>
      <c r="F10" s="25" t="n">
        <v>1655</v>
      </c>
      <c r="G10" s="27" t="n">
        <v>0.8610271903323263</v>
      </c>
    </row>
    <row r="11">
      <c r="A11" s="22" t="inlineStr">
        <is>
          <t>Samples outside their window</t>
        </is>
      </c>
      <c r="B11" s="23" t="n">
        <v>16</v>
      </c>
      <c r="C11" s="23" t="n">
        <v>124</v>
      </c>
      <c r="D11" s="26" t="n">
        <v>0.1290322580645161</v>
      </c>
      <c r="E11" s="23" t="n">
        <v>230</v>
      </c>
      <c r="F11" s="23" t="n">
        <v>1655</v>
      </c>
      <c r="G11" s="26" t="n">
        <v>0.1389728096676737</v>
      </c>
    </row>
    <row r="12">
      <c r="A12" s="24" t="inlineStr">
        <is>
          <t>DX1 and DX2 registered on the same day (pairs)</t>
        </is>
      </c>
      <c r="B12" s="25" t="n">
        <v>4</v>
      </c>
      <c r="C12" s="35" t="inlineStr">
        <is>
          <t>–</t>
        </is>
      </c>
      <c r="D12" s="35" t="inlineStr">
        <is>
          <t>–</t>
        </is>
      </c>
      <c r="E12" s="25" t="n">
        <v>42</v>
      </c>
      <c r="F12" s="35" t="inlineStr">
        <is>
          <t>–</t>
        </is>
      </c>
      <c r="G12" s="35" t="inlineStr">
        <is>
          <t>–</t>
        </is>
      </c>
    </row>
    <row r="15">
      <c r="A15" s="4" t="inlineStr">
        <is>
          <t>Sample registration by month</t>
        </is>
      </c>
    </row>
    <row r="16" ht="13" customHeight="1">
      <c r="A16" s="19" t="inlineStr">
        <is>
          <t>Samples registered at the central lab in each month, last 12 months. Denominator for %: samples registered that month.</t>
        </is>
      </c>
    </row>
    <row r="17" ht="32" customHeight="1">
      <c r="A17" s="20" t="inlineStr">
        <is>
          <t>Month</t>
        </is>
      </c>
      <c r="B17" s="21" t="inlineStr">
        <is>
          <t>Registered</t>
        </is>
      </c>
      <c r="C17" s="21" t="inlineStr">
        <is>
          <t>Within window</t>
        </is>
      </c>
      <c r="D17" s="21" t="inlineStr">
        <is>
          <t>Outside window</t>
        </is>
      </c>
      <c r="E17" s="21" t="inlineStr">
        <is>
          <t>% within window</t>
        </is>
      </c>
    </row>
    <row r="18">
      <c r="A18" s="22" t="inlineStr">
        <is>
          <t>Aug 2025</t>
        </is>
      </c>
      <c r="B18" s="23" t="n">
        <v>63</v>
      </c>
      <c r="C18" s="23" t="n">
        <v>54</v>
      </c>
      <c r="D18" s="23" t="n">
        <v>9</v>
      </c>
      <c r="E18" s="26" t="n">
        <v>0.8571428571428571</v>
      </c>
    </row>
    <row r="19">
      <c r="A19" s="24" t="inlineStr">
        <is>
          <t>Sep 2025</t>
        </is>
      </c>
      <c r="B19" s="25" t="n">
        <v>65</v>
      </c>
      <c r="C19" s="25" t="n">
        <v>58</v>
      </c>
      <c r="D19" s="25" t="n">
        <v>7</v>
      </c>
      <c r="E19" s="27" t="n">
        <v>0.8923076923076924</v>
      </c>
    </row>
    <row r="20">
      <c r="A20" s="22" t="inlineStr">
        <is>
          <t>Oct 2025</t>
        </is>
      </c>
      <c r="B20" s="23" t="n">
        <v>75</v>
      </c>
      <c r="C20" s="23" t="n">
        <v>66</v>
      </c>
      <c r="D20" s="23" t="n">
        <v>9</v>
      </c>
      <c r="E20" s="26" t="n">
        <v>0.88</v>
      </c>
    </row>
    <row r="21">
      <c r="A21" s="24" t="inlineStr">
        <is>
          <t>Nov 2025</t>
        </is>
      </c>
      <c r="B21" s="25" t="n">
        <v>106</v>
      </c>
      <c r="C21" s="25" t="n">
        <v>94</v>
      </c>
      <c r="D21" s="25" t="n">
        <v>12</v>
      </c>
      <c r="E21" s="27" t="n">
        <v>0.8867924528301887</v>
      </c>
    </row>
    <row r="22">
      <c r="A22" s="22" t="inlineStr">
        <is>
          <t>Dec 2025</t>
        </is>
      </c>
      <c r="B22" s="23" t="n">
        <v>96</v>
      </c>
      <c r="C22" s="23" t="n">
        <v>80</v>
      </c>
      <c r="D22" s="23" t="n">
        <v>16</v>
      </c>
      <c r="E22" s="26" t="n">
        <v>0.8333333333333334</v>
      </c>
    </row>
    <row r="23">
      <c r="A23" s="24" t="inlineStr">
        <is>
          <t>Jan 2026</t>
        </is>
      </c>
      <c r="B23" s="25" t="n">
        <v>105</v>
      </c>
      <c r="C23" s="25" t="n">
        <v>92</v>
      </c>
      <c r="D23" s="25" t="n">
        <v>13</v>
      </c>
      <c r="E23" s="27" t="n">
        <v>0.8761904761904762</v>
      </c>
    </row>
    <row r="24">
      <c r="A24" s="22" t="inlineStr">
        <is>
          <t>Feb 2026</t>
        </is>
      </c>
      <c r="B24" s="23" t="n">
        <v>106</v>
      </c>
      <c r="C24" s="23" t="n">
        <v>96</v>
      </c>
      <c r="D24" s="23" t="n">
        <v>10</v>
      </c>
      <c r="E24" s="26" t="n">
        <v>0.9056603773584906</v>
      </c>
    </row>
    <row r="25">
      <c r="A25" s="24" t="inlineStr">
        <is>
          <t>Mar 2026</t>
        </is>
      </c>
      <c r="B25" s="25" t="n">
        <v>154</v>
      </c>
      <c r="C25" s="25" t="n">
        <v>129</v>
      </c>
      <c r="D25" s="25" t="n">
        <v>25</v>
      </c>
      <c r="E25" s="27" t="n">
        <v>0.8376623376623377</v>
      </c>
    </row>
    <row r="26">
      <c r="A26" s="22" t="inlineStr">
        <is>
          <t>Apr 2026</t>
        </is>
      </c>
      <c r="B26" s="23" t="n">
        <v>167</v>
      </c>
      <c r="C26" s="23" t="n">
        <v>140</v>
      </c>
      <c r="D26" s="23" t="n">
        <v>27</v>
      </c>
      <c r="E26" s="26" t="n">
        <v>0.8383233532934131</v>
      </c>
    </row>
    <row r="27">
      <c r="A27" s="24" t="inlineStr">
        <is>
          <t>May 2026</t>
        </is>
      </c>
      <c r="B27" s="25" t="n">
        <v>124</v>
      </c>
      <c r="C27" s="25" t="n">
        <v>105</v>
      </c>
      <c r="D27" s="25" t="n">
        <v>19</v>
      </c>
      <c r="E27" s="27" t="n">
        <v>0.8467741935483871</v>
      </c>
    </row>
    <row r="28">
      <c r="A28" s="22" t="inlineStr">
        <is>
          <t>Jun 2026</t>
        </is>
      </c>
      <c r="B28" s="23" t="n">
        <v>98</v>
      </c>
      <c r="C28" s="23" t="n">
        <v>86</v>
      </c>
      <c r="D28" s="23" t="n">
        <v>12</v>
      </c>
      <c r="E28" s="26" t="n">
        <v>0.8775510204081632</v>
      </c>
    </row>
    <row r="29">
      <c r="A29" s="24" t="inlineStr">
        <is>
          <t>Jul 2026</t>
        </is>
      </c>
      <c r="B29" s="25" t="n">
        <v>124</v>
      </c>
      <c r="C29" s="25" t="n">
        <v>108</v>
      </c>
      <c r="D29" s="25" t="n">
        <v>16</v>
      </c>
      <c r="E29" s="27" t="n">
        <v>0.8709677419354839</v>
      </c>
    </row>
    <row r="50">
      <c r="A50" s="4" t="inlineStr">
        <is>
          <t>Sample pair status at month end</t>
        </is>
      </c>
    </row>
    <row r="51" ht="26" customHeight="1">
      <c r="A51" s="19" t="inlineStr">
        <is>
          <t>Denominator: 884 participants enrolled to date. Overdue = the registration window for the missing sample has passed. Pending = still inside the window.</t>
        </is>
      </c>
    </row>
    <row r="52" ht="32" customHeight="1">
      <c r="A52" s="20" t="inlineStr">
        <is>
          <t>Status</t>
        </is>
      </c>
      <c r="B52" s="21" t="inlineStr">
        <is>
          <t>Participants</t>
        </is>
      </c>
      <c r="C52" s="21" t="inlineStr">
        <is>
          <t>% of enrolled</t>
        </is>
      </c>
    </row>
    <row r="53">
      <c r="A53" s="22" t="inlineStr">
        <is>
          <t>Both samples registered</t>
        </is>
      </c>
      <c r="B53" s="23" t="n">
        <v>798</v>
      </c>
      <c r="C53" s="26" t="n">
        <v>0.9027149321266968</v>
      </c>
    </row>
    <row r="54">
      <c r="A54" s="24" t="inlineStr">
        <is>
          <t>DX2 missing: pending</t>
        </is>
      </c>
      <c r="B54" s="25" t="n">
        <v>23</v>
      </c>
      <c r="C54" s="27" t="n">
        <v>0.02601809954751131</v>
      </c>
    </row>
    <row r="55">
      <c r="A55" s="22" t="inlineStr">
        <is>
          <t>DX2 missing: overdue</t>
        </is>
      </c>
      <c r="B55" s="23" t="n">
        <v>30</v>
      </c>
      <c r="C55" s="26" t="n">
        <v>0.0339366515837104</v>
      </c>
    </row>
    <row r="56">
      <c r="A56" s="24" t="inlineStr">
        <is>
          <t>DX1 missing: pending</t>
        </is>
      </c>
      <c r="B56" s="25" t="n">
        <v>0</v>
      </c>
      <c r="C56" s="27" t="n">
        <v>0</v>
      </c>
    </row>
    <row r="57">
      <c r="A57" s="22" t="inlineStr">
        <is>
          <t>DX1 missing: overdue</t>
        </is>
      </c>
      <c r="B57" s="23" t="n">
        <v>6</v>
      </c>
      <c r="C57" s="26" t="n">
        <v>0.006787330316742082</v>
      </c>
    </row>
    <row r="58">
      <c r="A58" s="24" t="inlineStr">
        <is>
          <t>No sample registered: pending</t>
        </is>
      </c>
      <c r="B58" s="25" t="n">
        <v>19</v>
      </c>
      <c r="C58" s="27" t="n">
        <v>0.02149321266968326</v>
      </c>
    </row>
    <row r="59">
      <c r="A59" s="22" t="inlineStr">
        <is>
          <t>No sample registered: overdue</t>
        </is>
      </c>
      <c r="B59" s="23" t="n">
        <v>4</v>
      </c>
      <c r="C59" s="26" t="n">
        <v>0.004524886877828055</v>
      </c>
    </row>
    <row r="60">
      <c r="A60" s="24" t="inlineStr">
        <is>
          <t>No sample: withdrawn, sample not obtained</t>
        </is>
      </c>
      <c r="B60" s="25" t="n">
        <v>4</v>
      </c>
      <c r="C60" s="27" t="n">
        <v>0.004524886877828055</v>
      </c>
    </row>
    <row r="61">
      <c r="A61" s="28" t="inlineStr">
        <is>
          <t>Total enrolled</t>
        </is>
      </c>
      <c r="B61" s="29" t="n">
        <v>884</v>
      </c>
      <c r="C61" s="30" t="n">
        <v>1</v>
      </c>
    </row>
    <row r="64">
      <c r="A64" s="4" t="inlineStr">
        <is>
          <t>Sample registration by site, to date</t>
        </is>
      </c>
    </row>
    <row r="65" ht="32" customHeight="1">
      <c r="A65" s="20" t="inlineStr">
        <is>
          <t>Site</t>
        </is>
      </c>
      <c r="B65" s="21" t="inlineStr">
        <is>
          <t>Samples registered</t>
        </is>
      </c>
      <c r="C65" s="21" t="inlineStr">
        <is>
          <t>DX1 registered</t>
        </is>
      </c>
      <c r="D65" s="21" t="inlineStr">
        <is>
          <t>DX1 within 14 days</t>
        </is>
      </c>
      <c r="E65" s="21" t="inlineStr">
        <is>
          <t>% DX1 in window</t>
        </is>
      </c>
      <c r="F65" s="21" t="inlineStr">
        <is>
          <t>DX2 registered</t>
        </is>
      </c>
      <c r="G65" s="21" t="inlineStr">
        <is>
          <t>DX2 within 28 days</t>
        </is>
      </c>
      <c r="H65" s="21" t="inlineStr">
        <is>
          <t>% DX2 in window</t>
        </is>
      </c>
      <c r="I65" s="21" t="inlineStr">
        <is>
          <t>Same-day pairs</t>
        </is>
      </c>
      <c r="J65" s="21" t="inlineStr">
        <is>
          <t>Missing pair: overdue</t>
        </is>
      </c>
    </row>
    <row r="66">
      <c r="A66" s="22" t="inlineStr">
        <is>
          <t>AP Medical Research</t>
        </is>
      </c>
      <c r="B66" s="23" t="n">
        <v>4</v>
      </c>
      <c r="C66" s="23" t="n">
        <v>2</v>
      </c>
      <c r="D66" s="23" t="n">
        <v>2</v>
      </c>
      <c r="E66" s="26" t="n">
        <v>1</v>
      </c>
      <c r="F66" s="23" t="n">
        <v>2</v>
      </c>
      <c r="G66" s="23" t="n">
        <v>2</v>
      </c>
      <c r="H66" s="26" t="n">
        <v>1</v>
      </c>
      <c r="I66" s="23" t="n">
        <v>0</v>
      </c>
      <c r="J66" s="23" t="n">
        <v>0</v>
      </c>
    </row>
    <row r="67">
      <c r="A67" s="24" t="inlineStr">
        <is>
          <t>Beth Israel Deaconess</t>
        </is>
      </c>
      <c r="B67" s="25" t="n">
        <v>113</v>
      </c>
      <c r="C67" s="25" t="n">
        <v>58</v>
      </c>
      <c r="D67" s="25" t="n">
        <v>49</v>
      </c>
      <c r="E67" s="27" t="n">
        <v>0.8448275862068966</v>
      </c>
      <c r="F67" s="25" t="n">
        <v>55</v>
      </c>
      <c r="G67" s="25" t="n">
        <v>41</v>
      </c>
      <c r="H67" s="27" t="n">
        <v>0.7454545454545455</v>
      </c>
      <c r="I67" s="25" t="n">
        <v>1</v>
      </c>
      <c r="J67" s="25" t="n">
        <v>1</v>
      </c>
    </row>
    <row r="68">
      <c r="A68" s="22" t="inlineStr">
        <is>
          <t>Cleveland Clinic</t>
        </is>
      </c>
      <c r="B68" s="23" t="n">
        <v>111</v>
      </c>
      <c r="C68" s="23" t="n">
        <v>57</v>
      </c>
      <c r="D68" s="23" t="n">
        <v>50</v>
      </c>
      <c r="E68" s="26" t="n">
        <v>0.8771929824561403</v>
      </c>
      <c r="F68" s="23" t="n">
        <v>54</v>
      </c>
      <c r="G68" s="23" t="n">
        <v>47</v>
      </c>
      <c r="H68" s="26" t="n">
        <v>0.8703703703703703</v>
      </c>
      <c r="I68" s="23" t="n">
        <v>2</v>
      </c>
      <c r="J68" s="23" t="n">
        <v>2</v>
      </c>
    </row>
    <row r="69">
      <c r="A69" s="24" t="inlineStr">
        <is>
          <t>Columbia University Irving Medical Center</t>
        </is>
      </c>
      <c r="B69" s="25" t="n">
        <v>129</v>
      </c>
      <c r="C69" s="25" t="n">
        <v>66</v>
      </c>
      <c r="D69" s="25" t="n">
        <v>57</v>
      </c>
      <c r="E69" s="27" t="n">
        <v>0.8636363636363636</v>
      </c>
      <c r="F69" s="25" t="n">
        <v>63</v>
      </c>
      <c r="G69" s="25" t="n">
        <v>50</v>
      </c>
      <c r="H69" s="27" t="n">
        <v>0.7936507936507936</v>
      </c>
      <c r="I69" s="25" t="n">
        <v>2</v>
      </c>
      <c r="J69" s="25" t="n">
        <v>2</v>
      </c>
    </row>
    <row r="70">
      <c r="A70" s="22" t="inlineStr">
        <is>
          <t>Duke University Medical Center</t>
        </is>
      </c>
      <c r="B70" s="23" t="n">
        <v>112</v>
      </c>
      <c r="C70" s="23" t="n">
        <v>58</v>
      </c>
      <c r="D70" s="23" t="n">
        <v>50</v>
      </c>
      <c r="E70" s="26" t="n">
        <v>0.8620689655172413</v>
      </c>
      <c r="F70" s="23" t="n">
        <v>54</v>
      </c>
      <c r="G70" s="23" t="n">
        <v>44</v>
      </c>
      <c r="H70" s="26" t="n">
        <v>0.8148148148148148</v>
      </c>
      <c r="I70" s="23" t="n">
        <v>4</v>
      </c>
      <c r="J70" s="23" t="n">
        <v>1</v>
      </c>
    </row>
    <row r="71">
      <c r="A71" s="24" t="inlineStr">
        <is>
          <t>ES Clinical Research Group</t>
        </is>
      </c>
      <c r="B71" s="25" t="n">
        <v>2</v>
      </c>
      <c r="C71" s="25" t="n">
        <v>1</v>
      </c>
      <c r="D71" s="25" t="n">
        <v>1</v>
      </c>
      <c r="E71" s="27" t="n">
        <v>1</v>
      </c>
      <c r="F71" s="25" t="n">
        <v>1</v>
      </c>
      <c r="G71" s="25" t="n">
        <v>1</v>
      </c>
      <c r="H71" s="27" t="n">
        <v>1</v>
      </c>
      <c r="I71" s="25" t="n">
        <v>0</v>
      </c>
      <c r="J71" s="25" t="n">
        <v>0</v>
      </c>
    </row>
    <row r="72">
      <c r="A72" s="22" t="inlineStr">
        <is>
          <t>Eastern Carolina Women's</t>
        </is>
      </c>
      <c r="B72" s="23" t="n">
        <v>2</v>
      </c>
      <c r="C72" s="23" t="n">
        <v>1</v>
      </c>
      <c r="D72" s="23" t="n">
        <v>1</v>
      </c>
      <c r="E72" s="26" t="n">
        <v>1</v>
      </c>
      <c r="F72" s="23" t="n">
        <v>1</v>
      </c>
      <c r="G72" s="23" t="n">
        <v>0</v>
      </c>
      <c r="H72" s="26" t="n">
        <v>0</v>
      </c>
      <c r="I72" s="23" t="n">
        <v>0</v>
      </c>
      <c r="J72" s="23" t="n">
        <v>0</v>
      </c>
    </row>
    <row r="73">
      <c r="A73" s="24" t="inlineStr">
        <is>
          <t>Emerald Coast Clinical Research</t>
        </is>
      </c>
      <c r="B73" s="25" t="n">
        <v>129</v>
      </c>
      <c r="C73" s="25" t="n">
        <v>66</v>
      </c>
      <c r="D73" s="25" t="n">
        <v>57</v>
      </c>
      <c r="E73" s="27" t="n">
        <v>0.8636363636363636</v>
      </c>
      <c r="F73" s="25" t="n">
        <v>63</v>
      </c>
      <c r="G73" s="25" t="n">
        <v>51</v>
      </c>
      <c r="H73" s="27" t="n">
        <v>0.8095238095238095</v>
      </c>
      <c r="I73" s="25" t="n">
        <v>2</v>
      </c>
      <c r="J73" s="25" t="n">
        <v>3</v>
      </c>
    </row>
    <row r="74">
      <c r="A74" s="22" t="inlineStr">
        <is>
          <t>HCA Florida Physicians</t>
        </is>
      </c>
      <c r="B74" s="23" t="n">
        <v>97</v>
      </c>
      <c r="C74" s="23" t="n">
        <v>50</v>
      </c>
      <c r="D74" s="23" t="n">
        <v>44</v>
      </c>
      <c r="E74" s="26" t="n">
        <v>0.88</v>
      </c>
      <c r="F74" s="23" t="n">
        <v>47</v>
      </c>
      <c r="G74" s="23" t="n">
        <v>39</v>
      </c>
      <c r="H74" s="26" t="n">
        <v>0.8297872340425532</v>
      </c>
      <c r="I74" s="23" t="n">
        <v>4</v>
      </c>
      <c r="J74" s="23" t="n">
        <v>0</v>
      </c>
    </row>
    <row r="75">
      <c r="A75" s="24" t="inlineStr">
        <is>
          <t>Maximos Obgyn</t>
        </is>
      </c>
      <c r="B75" s="25" t="n">
        <v>58</v>
      </c>
      <c r="C75" s="25" t="n">
        <v>29</v>
      </c>
      <c r="D75" s="25" t="n">
        <v>25</v>
      </c>
      <c r="E75" s="27" t="n">
        <v>0.8620689655172413</v>
      </c>
      <c r="F75" s="25" t="n">
        <v>29</v>
      </c>
      <c r="G75" s="25" t="n">
        <v>25</v>
      </c>
      <c r="H75" s="27" t="n">
        <v>0.8620689655172413</v>
      </c>
      <c r="I75" s="25" t="n">
        <v>1</v>
      </c>
      <c r="J75" s="25" t="n">
        <v>0</v>
      </c>
    </row>
    <row r="76">
      <c r="A76" s="22" t="inlineStr">
        <is>
          <t>New Horizons Clinical Research</t>
        </is>
      </c>
      <c r="B76" s="23" t="n">
        <v>184</v>
      </c>
      <c r="C76" s="23" t="n">
        <v>95</v>
      </c>
      <c r="D76" s="23" t="n">
        <v>85</v>
      </c>
      <c r="E76" s="26" t="n">
        <v>0.8947368421052632</v>
      </c>
      <c r="F76" s="23" t="n">
        <v>89</v>
      </c>
      <c r="G76" s="23" t="n">
        <v>74</v>
      </c>
      <c r="H76" s="26" t="n">
        <v>0.8314606741573034</v>
      </c>
      <c r="I76" s="23" t="n">
        <v>9</v>
      </c>
      <c r="J76" s="23" t="n">
        <v>7</v>
      </c>
    </row>
    <row r="77">
      <c r="A77" s="24" t="inlineStr">
        <is>
          <t>Next Innovative Clinical Research</t>
        </is>
      </c>
      <c r="B77" s="25" t="n">
        <v>33</v>
      </c>
      <c r="C77" s="25" t="n">
        <v>17</v>
      </c>
      <c r="D77" s="25" t="n">
        <v>17</v>
      </c>
      <c r="E77" s="27" t="n">
        <v>1</v>
      </c>
      <c r="F77" s="25" t="n">
        <v>16</v>
      </c>
      <c r="G77" s="25" t="n">
        <v>13</v>
      </c>
      <c r="H77" s="27" t="n">
        <v>0.8125</v>
      </c>
      <c r="I77" s="25" t="n">
        <v>0</v>
      </c>
      <c r="J77" s="25" t="n">
        <v>1</v>
      </c>
    </row>
    <row r="78">
      <c r="A78" s="22" t="inlineStr">
        <is>
          <t>Prime Clinical Research</t>
        </is>
      </c>
      <c r="B78" s="23" t="n">
        <v>33</v>
      </c>
      <c r="C78" s="23" t="n">
        <v>17</v>
      </c>
      <c r="D78" s="23" t="n">
        <v>16</v>
      </c>
      <c r="E78" s="26" t="n">
        <v>0.9411764705882353</v>
      </c>
      <c r="F78" s="23" t="n">
        <v>16</v>
      </c>
      <c r="G78" s="23" t="n">
        <v>14</v>
      </c>
      <c r="H78" s="26" t="n">
        <v>0.875</v>
      </c>
      <c r="I78" s="23" t="n">
        <v>1</v>
      </c>
      <c r="J78" s="23" t="n">
        <v>1</v>
      </c>
    </row>
    <row r="79">
      <c r="A79" s="24" t="inlineStr">
        <is>
          <t>RUSH University Medical Center</t>
        </is>
      </c>
      <c r="B79" s="25" t="n">
        <v>83</v>
      </c>
      <c r="C79" s="25" t="n">
        <v>43</v>
      </c>
      <c r="D79" s="25" t="n">
        <v>40</v>
      </c>
      <c r="E79" s="27" t="n">
        <v>0.9302325581395349</v>
      </c>
      <c r="F79" s="25" t="n">
        <v>40</v>
      </c>
      <c r="G79" s="25" t="n">
        <v>30</v>
      </c>
      <c r="H79" s="27" t="n">
        <v>0.75</v>
      </c>
      <c r="I79" s="25" t="n">
        <v>2</v>
      </c>
      <c r="J79" s="25" t="n">
        <v>2</v>
      </c>
    </row>
    <row r="80">
      <c r="A80" s="22" t="inlineStr">
        <is>
          <t>Springfield Clinic</t>
        </is>
      </c>
      <c r="B80" s="23" t="n">
        <v>77</v>
      </c>
      <c r="C80" s="23" t="n">
        <v>40</v>
      </c>
      <c r="D80" s="23" t="n">
        <v>37</v>
      </c>
      <c r="E80" s="26" t="n">
        <v>0.925</v>
      </c>
      <c r="F80" s="23" t="n">
        <v>37</v>
      </c>
      <c r="G80" s="23" t="n">
        <v>32</v>
      </c>
      <c r="H80" s="26" t="n">
        <v>0.8648648648648649</v>
      </c>
      <c r="I80" s="23" t="n">
        <v>3</v>
      </c>
      <c r="J80" s="23" t="n">
        <v>3</v>
      </c>
    </row>
    <row r="81">
      <c r="A81" s="24" t="inlineStr">
        <is>
          <t>The Jackson Clinic</t>
        </is>
      </c>
      <c r="B81" s="25" t="n">
        <v>83</v>
      </c>
      <c r="C81" s="25" t="n">
        <v>42</v>
      </c>
      <c r="D81" s="25" t="n">
        <v>38</v>
      </c>
      <c r="E81" s="27" t="n">
        <v>0.9047619047619048</v>
      </c>
      <c r="F81" s="25" t="n">
        <v>41</v>
      </c>
      <c r="G81" s="25" t="n">
        <v>35</v>
      </c>
      <c r="H81" s="27" t="n">
        <v>0.8536585365853658</v>
      </c>
      <c r="I81" s="25" t="n">
        <v>2</v>
      </c>
      <c r="J81" s="25" t="n">
        <v>2</v>
      </c>
    </row>
    <row r="82">
      <c r="A82" s="22" t="inlineStr">
        <is>
          <t>Univ. of Florida Jacksonville</t>
        </is>
      </c>
      <c r="B82" s="23" t="n">
        <v>67</v>
      </c>
      <c r="C82" s="23" t="n">
        <v>33</v>
      </c>
      <c r="D82" s="23" t="n">
        <v>30</v>
      </c>
      <c r="E82" s="26" t="n">
        <v>0.9090909090909091</v>
      </c>
      <c r="F82" s="23" t="n">
        <v>34</v>
      </c>
      <c r="G82" s="23" t="n">
        <v>31</v>
      </c>
      <c r="H82" s="26" t="n">
        <v>0.9117647058823529</v>
      </c>
      <c r="I82" s="23" t="n">
        <v>4</v>
      </c>
      <c r="J82" s="23" t="n">
        <v>2</v>
      </c>
    </row>
    <row r="83">
      <c r="A83" s="24" t="inlineStr">
        <is>
          <t>Vast Clinical Research</t>
        </is>
      </c>
      <c r="B83" s="25" t="n">
        <v>27</v>
      </c>
      <c r="C83" s="25" t="n">
        <v>14</v>
      </c>
      <c r="D83" s="25" t="n">
        <v>13</v>
      </c>
      <c r="E83" s="27" t="n">
        <v>0.9285714285714286</v>
      </c>
      <c r="F83" s="25" t="n">
        <v>13</v>
      </c>
      <c r="G83" s="25" t="n">
        <v>12</v>
      </c>
      <c r="H83" s="27" t="n">
        <v>0.9230769230769231</v>
      </c>
      <c r="I83" s="25" t="n">
        <v>0</v>
      </c>
      <c r="J83" s="25" t="n">
        <v>1</v>
      </c>
    </row>
    <row r="84">
      <c r="A84" s="22" t="inlineStr">
        <is>
          <t>Velocity Clinical Research</t>
        </is>
      </c>
      <c r="B84" s="23" t="n">
        <v>73</v>
      </c>
      <c r="C84" s="23" t="n">
        <v>38</v>
      </c>
      <c r="D84" s="23" t="n">
        <v>28</v>
      </c>
      <c r="E84" s="26" t="n">
        <v>0.7368421052631579</v>
      </c>
      <c r="F84" s="23" t="n">
        <v>35</v>
      </c>
      <c r="G84" s="23" t="n">
        <v>25</v>
      </c>
      <c r="H84" s="26" t="n">
        <v>0.7142857142857143</v>
      </c>
      <c r="I84" s="23" t="n">
        <v>3</v>
      </c>
      <c r="J84" s="23" t="n">
        <v>2</v>
      </c>
    </row>
    <row r="85">
      <c r="A85" s="24" t="inlineStr">
        <is>
          <t>Virginia Women's Health Associates</t>
        </is>
      </c>
      <c r="B85" s="25" t="n">
        <v>34</v>
      </c>
      <c r="C85" s="25" t="n">
        <v>17</v>
      </c>
      <c r="D85" s="25" t="n">
        <v>16</v>
      </c>
      <c r="E85" s="27" t="n">
        <v>0.9411764705882353</v>
      </c>
      <c r="F85" s="25" t="n">
        <v>17</v>
      </c>
      <c r="G85" s="25" t="n">
        <v>13</v>
      </c>
      <c r="H85" s="27" t="n">
        <v>0.7647058823529411</v>
      </c>
      <c r="I85" s="25" t="n">
        <v>1</v>
      </c>
      <c r="J85" s="25" t="n">
        <v>0</v>
      </c>
    </row>
    <row r="86">
      <c r="A86" s="22" t="inlineStr">
        <is>
          <t>Women's Center of Nevada</t>
        </is>
      </c>
      <c r="B86" s="23" t="n">
        <v>169</v>
      </c>
      <c r="C86" s="23" t="n">
        <v>89</v>
      </c>
      <c r="D86" s="23" t="n">
        <v>85</v>
      </c>
      <c r="E86" s="26" t="n">
        <v>0.9550561797752809</v>
      </c>
      <c r="F86" s="23" t="n">
        <v>80</v>
      </c>
      <c r="G86" s="23" t="n">
        <v>70</v>
      </c>
      <c r="H86" s="26" t="n">
        <v>0.875</v>
      </c>
      <c r="I86" s="23" t="n">
        <v>1</v>
      </c>
      <c r="J86" s="23" t="n">
        <v>5</v>
      </c>
    </row>
    <row r="87">
      <c r="A87" s="24" t="inlineStr">
        <is>
          <t>Women's Health Pavilion</t>
        </is>
      </c>
      <c r="B87" s="25" t="n">
        <v>35</v>
      </c>
      <c r="C87" s="25" t="n">
        <v>18</v>
      </c>
      <c r="D87" s="25" t="n">
        <v>18</v>
      </c>
      <c r="E87" s="27" t="n">
        <v>1</v>
      </c>
      <c r="F87" s="25" t="n">
        <v>17</v>
      </c>
      <c r="G87" s="25" t="n">
        <v>17</v>
      </c>
      <c r="H87" s="27" t="n">
        <v>1</v>
      </c>
      <c r="I87" s="25" t="n">
        <v>0</v>
      </c>
      <c r="J87" s="25" t="n">
        <v>1</v>
      </c>
    </row>
    <row r="88">
      <c r="A88" s="28" t="inlineStr">
        <is>
          <t>All sites</t>
        </is>
      </c>
      <c r="B88" s="29" t="n">
        <v>1655</v>
      </c>
      <c r="C88" s="29" t="n">
        <v>851</v>
      </c>
      <c r="D88" s="29" t="n">
        <v>759</v>
      </c>
      <c r="E88" s="30" t="n">
        <v>0.8918918918918919</v>
      </c>
      <c r="F88" s="29" t="n">
        <v>804</v>
      </c>
      <c r="G88" s="29" t="n">
        <v>666</v>
      </c>
      <c r="H88" s="30" t="n">
        <v>0.8283582089552238</v>
      </c>
      <c r="I88" s="29" t="n">
        <v>42</v>
      </c>
      <c r="J88" s="29" t="n">
        <v>36</v>
      </c>
    </row>
    <row r="91">
      <c r="A91" s="4" t="inlineStr">
        <is>
          <t>Where registered samples are now</t>
        </is>
      </c>
    </row>
    <row r="92" ht="13" customHeight="1">
      <c r="A92" s="19" t="inlineStr">
        <is>
          <t>Status from the inventory report dated 03AUG2026. Denominator: 1655 samples registered to month end.</t>
        </is>
      </c>
    </row>
    <row r="93" ht="32" customHeight="1">
      <c r="A93" s="20" t="inlineStr">
        <is>
          <t>Current status</t>
        </is>
      </c>
      <c r="B93" s="21" t="inlineStr">
        <is>
          <t>Samples</t>
        </is>
      </c>
      <c r="C93" s="21" t="inlineStr">
        <is>
          <t>% of registered</t>
        </is>
      </c>
    </row>
    <row r="94">
      <c r="A94" s="22" t="inlineStr">
        <is>
          <t>In Inventory</t>
        </is>
      </c>
      <c r="B94" s="23" t="n">
        <v>642</v>
      </c>
      <c r="C94" s="26" t="n">
        <v>0.3879154078549849</v>
      </c>
    </row>
    <row r="95">
      <c r="A95" s="24" t="inlineStr">
        <is>
          <t>Transferred</t>
        </is>
      </c>
      <c r="B95" s="25" t="n">
        <v>1001</v>
      </c>
      <c r="C95" s="27" t="n">
        <v>0.6048338368580061</v>
      </c>
    </row>
    <row r="96">
      <c r="A96" s="22" t="inlineStr">
        <is>
          <t>Destroyed</t>
        </is>
      </c>
      <c r="B96" s="23" t="n">
        <v>12</v>
      </c>
      <c r="C96" s="26" t="n">
        <v>0.007250755287009063</v>
      </c>
    </row>
  </sheetData>
  <mergeCells count="4">
    <mergeCell ref="A92:F92"/>
    <mergeCell ref="A16:F16"/>
    <mergeCell ref="A51:F51"/>
    <mergeCell ref="A5:G5"/>
  </mergeCells>
  <conditionalFormatting sqref="D7:D12">
    <cfRule type="dataBar" priority="1">
      <dataBar showValue="1">
        <cfvo type="num" val="0"/>
        <cfvo type="num" val="1"/>
        <color rgb="0086B6EF"/>
      </dataBar>
    </cfRule>
  </conditionalFormatting>
  <conditionalFormatting sqref="G7:G12">
    <cfRule type="dataBar" priority="2">
      <dataBar showValue="1">
        <cfvo type="num" val="0"/>
        <cfvo type="num" val="1"/>
        <color rgb="0086B6EF"/>
      </dataBar>
    </cfRule>
  </conditionalFormatting>
  <conditionalFormatting sqref="E18:E29">
    <cfRule type="dataBar" priority="3">
      <dataBar showValue="1">
        <cfvo type="num" val="0"/>
        <cfvo type="num" val="1"/>
        <color rgb="0086B6EF"/>
      </dataBar>
    </cfRule>
  </conditionalFormatting>
  <conditionalFormatting sqref="C53:C60">
    <cfRule type="dataBar" priority="4">
      <dataBar showValue="1">
        <cfvo type="num" val="0"/>
        <cfvo type="num" val="1"/>
        <color rgb="0086B6EF"/>
      </dataBar>
    </cfRule>
  </conditionalFormatting>
  <conditionalFormatting sqref="E66:E87">
    <cfRule type="dataBar" priority="5">
      <dataBar showValue="1">
        <cfvo type="num" val="0"/>
        <cfvo type="num" val="1"/>
        <color rgb="0086B6EF"/>
      </dataBar>
    </cfRule>
  </conditionalFormatting>
  <conditionalFormatting sqref="H66:H87">
    <cfRule type="dataBar" priority="6">
      <dataBar showValue="1">
        <cfvo type="num" val="0"/>
        <cfvo type="num" val="1"/>
        <color rgb="0086B6EF"/>
      </dataBar>
    </cfRule>
  </conditionalFormatting>
  <conditionalFormatting sqref="C94:C96">
    <cfRule type="dataBar" priority="7">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K98"/>
  <sheetViews>
    <sheetView showGridLines="0" zoomScale="10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ht="24" customHeight="1">
      <c r="A1" s="1" t="inlineStr">
        <is>
          <t>Data queries</t>
        </is>
      </c>
    </row>
    <row r="2">
      <c r="A2" s="2" t="inlineStr">
        <is>
          <t>Reporting month July 2026 · Data to 31 Jul 2026 · Citrus export 03 Aug 2026 13:57 UTC · Inventory report 03AUG2026</t>
        </is>
      </c>
    </row>
    <row r="3">
      <c r="A3" s="18" t="inlineStr">
        <is>
          <t>Query status at month end, built from each query's creation and last-update dates.</t>
        </is>
      </c>
    </row>
    <row r="4">
      <c r="A4" s="4" t="inlineStr">
        <is>
          <t>Query status at month end</t>
        </is>
      </c>
    </row>
    <row r="5" ht="13" customHeight="1">
      <c r="A5" s="19" t="inlineStr">
        <is>
          <t>Denominator: 1004 queries raised to month end. Reviewing = the site responded and a reviewer is checking it.</t>
        </is>
      </c>
    </row>
    <row r="6" ht="45" customHeight="1">
      <c r="A6" s="20" t="inlineStr">
        <is>
          <t>Measure</t>
        </is>
      </c>
      <c r="B6" s="21" t="inlineStr">
        <is>
          <t>Queries</t>
        </is>
      </c>
      <c r="C6" s="21" t="inlineStr">
        <is>
          <t>% of all queries raised</t>
        </is>
      </c>
    </row>
    <row r="7">
      <c r="A7" s="22" t="inlineStr">
        <is>
          <t>Open</t>
        </is>
      </c>
      <c r="B7" s="23" t="n">
        <v>129</v>
      </c>
      <c r="C7" s="26" t="n">
        <v>0.1284860557768924</v>
      </c>
    </row>
    <row r="8">
      <c r="A8" s="24" t="inlineStr">
        <is>
          <t>Reviewing</t>
        </is>
      </c>
      <c r="B8" s="25" t="n">
        <v>52</v>
      </c>
      <c r="C8" s="27" t="n">
        <v>0.05179282868525897</v>
      </c>
    </row>
    <row r="9">
      <c r="A9" s="22" t="inlineStr">
        <is>
          <t>Closed</t>
        </is>
      </c>
      <c r="B9" s="23" t="n">
        <v>823</v>
      </c>
      <c r="C9" s="26" t="n">
        <v>0.8197211155378487</v>
      </c>
    </row>
    <row r="10">
      <c r="A10" s="28" t="inlineStr">
        <is>
          <t>Total raised to date</t>
        </is>
      </c>
      <c r="B10" s="29" t="n">
        <v>1004</v>
      </c>
      <c r="C10" s="30" t="n">
        <v>1</v>
      </c>
    </row>
    <row r="11">
      <c r="A11" s="22" t="inlineStr">
        <is>
          <t>Raised in July 2026</t>
        </is>
      </c>
      <c r="B11" s="23" t="n">
        <v>133</v>
      </c>
      <c r="C11" s="38" t="inlineStr">
        <is>
          <t>–</t>
        </is>
      </c>
    </row>
    <row r="12">
      <c r="A12" s="24" t="inlineStr">
        <is>
          <t>Closed in July 2026</t>
        </is>
      </c>
      <c r="B12" s="25" t="n">
        <v>105</v>
      </c>
      <c r="C12" s="35" t="inlineStr">
        <is>
          <t>–</t>
        </is>
      </c>
    </row>
    <row r="13">
      <c r="A13" s="22" t="inlineStr">
        <is>
          <t>Open or reviewing for more than 90 days</t>
        </is>
      </c>
      <c r="B13" s="23" t="n">
        <v>93</v>
      </c>
      <c r="C13" s="38" t="inlineStr">
        <is>
          <t>–</t>
        </is>
      </c>
    </row>
    <row r="39">
      <c r="A39" s="4" t="inlineStr">
        <is>
          <t>Days open for unresolved queries</t>
        </is>
      </c>
    </row>
    <row r="40" ht="13" customHeight="1">
      <c r="A40" s="19" t="inlineStr">
        <is>
          <t>Days open = days from creation to the end of 31 Jul 2026.</t>
        </is>
      </c>
    </row>
    <row r="41" ht="32" customHeight="1">
      <c r="A41" s="20" t="inlineStr">
        <is>
          <t>Status at month end</t>
        </is>
      </c>
      <c r="B41" s="21" t="inlineStr">
        <is>
          <t>Queries</t>
        </is>
      </c>
      <c r="C41" s="21" t="inlineStr">
        <is>
          <t>Mean days open</t>
        </is>
      </c>
      <c r="D41" s="21" t="inlineStr">
        <is>
          <t>Median days open</t>
        </is>
      </c>
      <c r="E41" s="21" t="inlineStr">
        <is>
          <t>Shortest</t>
        </is>
      </c>
      <c r="F41" s="21" t="inlineStr">
        <is>
          <t>Longest</t>
        </is>
      </c>
    </row>
    <row r="42">
      <c r="A42" s="22" t="inlineStr">
        <is>
          <t>Open</t>
        </is>
      </c>
      <c r="B42" s="23" t="n">
        <v>129</v>
      </c>
      <c r="C42" s="32" t="n">
        <v>153.6840686907838</v>
      </c>
      <c r="D42" s="32" t="n">
        <v>89.72675925925925</v>
      </c>
      <c r="E42" s="32" t="n">
        <v>0.03979166666666667</v>
      </c>
      <c r="F42" s="32" t="n">
        <v>673.1021643518518</v>
      </c>
    </row>
    <row r="43">
      <c r="A43" s="24" t="inlineStr">
        <is>
          <t>Reviewing</t>
        </is>
      </c>
      <c r="B43" s="25" t="n">
        <v>52</v>
      </c>
      <c r="C43" s="34" t="n">
        <v>168.1199964387464</v>
      </c>
      <c r="D43" s="34" t="n">
        <v>128.0769560185185</v>
      </c>
      <c r="E43" s="34" t="n">
        <v>0.1796296296296296</v>
      </c>
      <c r="F43" s="34" t="n">
        <v>607.1649768518519</v>
      </c>
    </row>
    <row r="44">
      <c r="A44" s="28" t="inlineStr">
        <is>
          <t>Open and reviewing</t>
        </is>
      </c>
      <c r="B44" s="29" t="n">
        <v>181</v>
      </c>
      <c r="C44" s="39" t="n">
        <v>157.8314070493145</v>
      </c>
      <c r="D44" s="39" t="n">
        <v>97.23848379629629</v>
      </c>
      <c r="E44" s="39" t="n">
        <v>0.03979166666666667</v>
      </c>
      <c r="F44" s="39" t="n">
        <v>673.1021643518518</v>
      </c>
    </row>
    <row r="47">
      <c r="A47" s="4" t="inlineStr">
        <is>
          <t>Queries by site</t>
        </is>
      </c>
    </row>
    <row r="48" ht="13" customHeight="1">
      <c r="A48" s="19" t="inlineStr">
        <is>
          <t>Percentages use the group's total queries. Days open covers open and reviewing queries.</t>
        </is>
      </c>
    </row>
    <row r="49" ht="32" customHeight="1">
      <c r="A49" s="20" t="inlineStr">
        <is>
          <t>Site</t>
        </is>
      </c>
      <c r="B49" s="21" t="inlineStr">
        <is>
          <t>Total</t>
        </is>
      </c>
      <c r="C49" s="21" t="inlineStr">
        <is>
          <t>Open</t>
        </is>
      </c>
      <c r="D49" s="21" t="inlineStr">
        <is>
          <t>% open</t>
        </is>
      </c>
      <c r="E49" s="21" t="inlineStr">
        <is>
          <t>Reviewing</t>
        </is>
      </c>
      <c r="F49" s="21" t="inlineStr">
        <is>
          <t>% reviewing</t>
        </is>
      </c>
      <c r="G49" s="21" t="inlineStr">
        <is>
          <t>Closed</t>
        </is>
      </c>
      <c r="H49" s="21" t="inlineStr">
        <is>
          <t>% closed</t>
        </is>
      </c>
      <c r="I49" s="21" t="inlineStr">
        <is>
          <t>Mean days open</t>
        </is>
      </c>
      <c r="J49" s="21" t="inlineStr">
        <is>
          <t>Median days open</t>
        </is>
      </c>
      <c r="K49" s="21" t="inlineStr">
        <is>
          <t>Range of days open</t>
        </is>
      </c>
    </row>
    <row r="50">
      <c r="A50" s="22" t="inlineStr">
        <is>
          <t>AP Medical Research</t>
        </is>
      </c>
      <c r="B50" s="23" t="n">
        <v>1</v>
      </c>
      <c r="C50" s="23" t="n">
        <v>0</v>
      </c>
      <c r="D50" s="26" t="n">
        <v>0</v>
      </c>
      <c r="E50" s="23" t="n">
        <v>0</v>
      </c>
      <c r="F50" s="26" t="n">
        <v>0</v>
      </c>
      <c r="G50" s="23" t="n">
        <v>1</v>
      </c>
      <c r="H50" s="26" t="n">
        <v>1</v>
      </c>
      <c r="I50" s="38" t="inlineStr">
        <is>
          <t>–</t>
        </is>
      </c>
      <c r="J50" s="38" t="inlineStr">
        <is>
          <t>–</t>
        </is>
      </c>
      <c r="K50" s="38" t="inlineStr">
        <is>
          <t>–</t>
        </is>
      </c>
    </row>
    <row r="51">
      <c r="A51" s="24" t="inlineStr">
        <is>
          <t>Beth Israel Deaconess</t>
        </is>
      </c>
      <c r="B51" s="25" t="n">
        <v>68</v>
      </c>
      <c r="C51" s="25" t="n">
        <v>6</v>
      </c>
      <c r="D51" s="27" t="n">
        <v>0.08823529411764706</v>
      </c>
      <c r="E51" s="25" t="n">
        <v>1</v>
      </c>
      <c r="F51" s="27" t="n">
        <v>0.01470588235294118</v>
      </c>
      <c r="G51" s="25" t="n">
        <v>61</v>
      </c>
      <c r="H51" s="27" t="n">
        <v>0.8970588235294118</v>
      </c>
      <c r="I51" s="34" t="n">
        <v>137.4110284391534</v>
      </c>
      <c r="J51" s="34" t="n">
        <v>182.512974537037</v>
      </c>
      <c r="K51" s="40" t="inlineStr">
        <is>
          <t>1–269</t>
        </is>
      </c>
    </row>
    <row r="52">
      <c r="A52" s="22" t="inlineStr">
        <is>
          <t>Cleveland Clinic</t>
        </is>
      </c>
      <c r="B52" s="23" t="n">
        <v>71</v>
      </c>
      <c r="C52" s="23" t="n">
        <v>8</v>
      </c>
      <c r="D52" s="26" t="n">
        <v>0.1126760563380282</v>
      </c>
      <c r="E52" s="23" t="n">
        <v>5</v>
      </c>
      <c r="F52" s="26" t="n">
        <v>0.07042253521126761</v>
      </c>
      <c r="G52" s="23" t="n">
        <v>58</v>
      </c>
      <c r="H52" s="26" t="n">
        <v>0.8169014084507042</v>
      </c>
      <c r="I52" s="32" t="n">
        <v>88.91102742165242</v>
      </c>
      <c r="J52" s="32" t="n">
        <v>71.32894675925925</v>
      </c>
      <c r="K52" s="41" t="inlineStr">
        <is>
          <t>2–237</t>
        </is>
      </c>
    </row>
    <row r="53">
      <c r="A53" s="24" t="inlineStr">
        <is>
          <t>Columbia University Irving Medical Center</t>
        </is>
      </c>
      <c r="B53" s="25" t="n">
        <v>68</v>
      </c>
      <c r="C53" s="25" t="n">
        <v>6</v>
      </c>
      <c r="D53" s="27" t="n">
        <v>0.08823529411764706</v>
      </c>
      <c r="E53" s="25" t="n">
        <v>4</v>
      </c>
      <c r="F53" s="27" t="n">
        <v>0.05882352941176471</v>
      </c>
      <c r="G53" s="25" t="n">
        <v>58</v>
      </c>
      <c r="H53" s="27" t="n">
        <v>0.8529411764705882</v>
      </c>
      <c r="I53" s="34" t="n">
        <v>141.1535960648148</v>
      </c>
      <c r="J53" s="34" t="n">
        <v>150.9183333333334</v>
      </c>
      <c r="K53" s="40" t="inlineStr">
        <is>
          <t>6–251</t>
        </is>
      </c>
    </row>
    <row r="54">
      <c r="A54" s="22" t="inlineStr">
        <is>
          <t>Duke University Medical Center</t>
        </is>
      </c>
      <c r="B54" s="23" t="n">
        <v>63</v>
      </c>
      <c r="C54" s="23" t="n">
        <v>13</v>
      </c>
      <c r="D54" s="26" t="n">
        <v>0.2063492063492063</v>
      </c>
      <c r="E54" s="23" t="n">
        <v>2</v>
      </c>
      <c r="F54" s="26" t="n">
        <v>0.03174603174603174</v>
      </c>
      <c r="G54" s="23" t="n">
        <v>48</v>
      </c>
      <c r="H54" s="26" t="n">
        <v>0.7619047619047619</v>
      </c>
      <c r="I54" s="32" t="n">
        <v>54.32202777777778</v>
      </c>
      <c r="J54" s="32" t="n">
        <v>12.46329861111111</v>
      </c>
      <c r="K54" s="41" t="inlineStr">
        <is>
          <t>1–230</t>
        </is>
      </c>
    </row>
    <row r="55">
      <c r="A55" s="24" t="inlineStr">
        <is>
          <t>ES Clinical Research Group</t>
        </is>
      </c>
      <c r="B55" s="25" t="n">
        <v>2</v>
      </c>
      <c r="C55" s="25" t="n">
        <v>0</v>
      </c>
      <c r="D55" s="27" t="n">
        <v>0</v>
      </c>
      <c r="E55" s="25" t="n">
        <v>0</v>
      </c>
      <c r="F55" s="27" t="n">
        <v>0</v>
      </c>
      <c r="G55" s="25" t="n">
        <v>2</v>
      </c>
      <c r="H55" s="27" t="n">
        <v>1</v>
      </c>
      <c r="I55" s="35" t="inlineStr">
        <is>
          <t>–</t>
        </is>
      </c>
      <c r="J55" s="35" t="inlineStr">
        <is>
          <t>–</t>
        </is>
      </c>
      <c r="K55" s="35" t="inlineStr">
        <is>
          <t>–</t>
        </is>
      </c>
    </row>
    <row r="56">
      <c r="A56" s="22" t="inlineStr">
        <is>
          <t>Eastern Carolina Women's</t>
        </is>
      </c>
      <c r="B56" s="23" t="n">
        <v>1</v>
      </c>
      <c r="C56" s="23" t="n">
        <v>0</v>
      </c>
      <c r="D56" s="26" t="n">
        <v>0</v>
      </c>
      <c r="E56" s="23" t="n">
        <v>0</v>
      </c>
      <c r="F56" s="26" t="n">
        <v>0</v>
      </c>
      <c r="G56" s="23" t="n">
        <v>1</v>
      </c>
      <c r="H56" s="26" t="n">
        <v>1</v>
      </c>
      <c r="I56" s="38" t="inlineStr">
        <is>
          <t>–</t>
        </is>
      </c>
      <c r="J56" s="38" t="inlineStr">
        <is>
          <t>–</t>
        </is>
      </c>
      <c r="K56" s="38" t="inlineStr">
        <is>
          <t>–</t>
        </is>
      </c>
    </row>
    <row r="57">
      <c r="A57" s="24" t="inlineStr">
        <is>
          <t>Emerald Coast Clinical Research</t>
        </is>
      </c>
      <c r="B57" s="25" t="n">
        <v>70</v>
      </c>
      <c r="C57" s="25" t="n">
        <v>13</v>
      </c>
      <c r="D57" s="27" t="n">
        <v>0.1857142857142857</v>
      </c>
      <c r="E57" s="25" t="n">
        <v>4</v>
      </c>
      <c r="F57" s="27" t="n">
        <v>0.05714285714285714</v>
      </c>
      <c r="G57" s="25" t="n">
        <v>53</v>
      </c>
      <c r="H57" s="27" t="n">
        <v>0.7571428571428571</v>
      </c>
      <c r="I57" s="34" t="n">
        <v>273.8304391339869</v>
      </c>
      <c r="J57" s="34" t="n">
        <v>309.6044675925926</v>
      </c>
      <c r="K57" s="40" t="inlineStr">
        <is>
          <t>1–546</t>
        </is>
      </c>
    </row>
    <row r="58">
      <c r="A58" s="22" t="inlineStr">
        <is>
          <t>HCA Florida Physicians</t>
        </is>
      </c>
      <c r="B58" s="23" t="n">
        <v>63</v>
      </c>
      <c r="C58" s="23" t="n">
        <v>9</v>
      </c>
      <c r="D58" s="26" t="n">
        <v>0.1428571428571428</v>
      </c>
      <c r="E58" s="23" t="n">
        <v>6</v>
      </c>
      <c r="F58" s="26" t="n">
        <v>0.09523809523809523</v>
      </c>
      <c r="G58" s="23" t="n">
        <v>48</v>
      </c>
      <c r="H58" s="26" t="n">
        <v>0.7619047619047619</v>
      </c>
      <c r="I58" s="32" t="n">
        <v>35.95471064814815</v>
      </c>
      <c r="J58" s="32" t="n">
        <v>10.16313657407407</v>
      </c>
      <c r="K58" s="41" t="inlineStr">
        <is>
          <t>0–128</t>
        </is>
      </c>
    </row>
    <row r="59">
      <c r="A59" s="24" t="inlineStr">
        <is>
          <t>Maximos Obgyn</t>
        </is>
      </c>
      <c r="B59" s="25" t="n">
        <v>41</v>
      </c>
      <c r="C59" s="25" t="n">
        <v>3</v>
      </c>
      <c r="D59" s="27" t="n">
        <v>0.07317073170731707</v>
      </c>
      <c r="E59" s="25" t="n">
        <v>1</v>
      </c>
      <c r="F59" s="27" t="n">
        <v>0.02439024390243903</v>
      </c>
      <c r="G59" s="25" t="n">
        <v>37</v>
      </c>
      <c r="H59" s="27" t="n">
        <v>0.9024390243902439</v>
      </c>
      <c r="I59" s="34" t="n">
        <v>90.21129340277778</v>
      </c>
      <c r="J59" s="34" t="n">
        <v>38.68616898148149</v>
      </c>
      <c r="K59" s="40" t="inlineStr">
        <is>
          <t>12–271</t>
        </is>
      </c>
    </row>
    <row r="60">
      <c r="A60" s="22" t="inlineStr">
        <is>
          <t>New Horizons Clinical Research</t>
        </is>
      </c>
      <c r="B60" s="23" t="n">
        <v>117</v>
      </c>
      <c r="C60" s="23" t="n">
        <v>11</v>
      </c>
      <c r="D60" s="26" t="n">
        <v>0.09401709401709402</v>
      </c>
      <c r="E60" s="23" t="n">
        <v>5</v>
      </c>
      <c r="F60" s="26" t="n">
        <v>0.04273504273504274</v>
      </c>
      <c r="G60" s="23" t="n">
        <v>101</v>
      </c>
      <c r="H60" s="26" t="n">
        <v>0.8632478632478633</v>
      </c>
      <c r="I60" s="32" t="n">
        <v>294.1014388020834</v>
      </c>
      <c r="J60" s="32" t="n">
        <v>325.662488425926</v>
      </c>
      <c r="K60" s="41" t="inlineStr">
        <is>
          <t>9–619</t>
        </is>
      </c>
    </row>
    <row r="61">
      <c r="A61" s="24" t="inlineStr">
        <is>
          <t>Next Innovative Clinical Research</t>
        </is>
      </c>
      <c r="B61" s="25" t="n">
        <v>18</v>
      </c>
      <c r="C61" s="25" t="n">
        <v>2</v>
      </c>
      <c r="D61" s="27" t="n">
        <v>0.1111111111111111</v>
      </c>
      <c r="E61" s="25" t="n">
        <v>1</v>
      </c>
      <c r="F61" s="27" t="n">
        <v>0.05555555555555555</v>
      </c>
      <c r="G61" s="25" t="n">
        <v>15</v>
      </c>
      <c r="H61" s="27" t="n">
        <v>0.8333333333333334</v>
      </c>
      <c r="I61" s="34" t="n">
        <v>302.1807716049383</v>
      </c>
      <c r="J61" s="34" t="n">
        <v>237.7295949074074</v>
      </c>
      <c r="K61" s="40" t="inlineStr">
        <is>
          <t>157–512</t>
        </is>
      </c>
    </row>
    <row r="62">
      <c r="A62" s="22" t="inlineStr">
        <is>
          <t>Prime Clinical Research</t>
        </is>
      </c>
      <c r="B62" s="23" t="n">
        <v>19</v>
      </c>
      <c r="C62" s="23" t="n">
        <v>2</v>
      </c>
      <c r="D62" s="26" t="n">
        <v>0.1052631578947368</v>
      </c>
      <c r="E62" s="23" t="n">
        <v>0</v>
      </c>
      <c r="F62" s="26" t="n">
        <v>0</v>
      </c>
      <c r="G62" s="23" t="n">
        <v>17</v>
      </c>
      <c r="H62" s="26" t="n">
        <v>0.8947368421052632</v>
      </c>
      <c r="I62" s="32" t="n">
        <v>342.6805555555555</v>
      </c>
      <c r="J62" s="32" t="n">
        <v>342.6805555555555</v>
      </c>
      <c r="K62" s="41" t="inlineStr">
        <is>
          <t>320–365</t>
        </is>
      </c>
    </row>
    <row r="63">
      <c r="A63" s="24" t="inlineStr">
        <is>
          <t>RUSH University Medical Center</t>
        </is>
      </c>
      <c r="B63" s="25" t="n">
        <v>55</v>
      </c>
      <c r="C63" s="25" t="n">
        <v>10</v>
      </c>
      <c r="D63" s="27" t="n">
        <v>0.1818181818181818</v>
      </c>
      <c r="E63" s="25" t="n">
        <v>4</v>
      </c>
      <c r="F63" s="27" t="n">
        <v>0.07272727272727272</v>
      </c>
      <c r="G63" s="25" t="n">
        <v>41</v>
      </c>
      <c r="H63" s="27" t="n">
        <v>0.7454545454545455</v>
      </c>
      <c r="I63" s="34" t="n">
        <v>88.70326306216931</v>
      </c>
      <c r="J63" s="34" t="n">
        <v>94.55093171296296</v>
      </c>
      <c r="K63" s="40" t="inlineStr">
        <is>
          <t>7–229</t>
        </is>
      </c>
    </row>
    <row r="64">
      <c r="A64" s="22" t="inlineStr">
        <is>
          <t>Springfield Clinic</t>
        </is>
      </c>
      <c r="B64" s="23" t="n">
        <v>54</v>
      </c>
      <c r="C64" s="23" t="n">
        <v>7</v>
      </c>
      <c r="D64" s="26" t="n">
        <v>0.1296296296296296</v>
      </c>
      <c r="E64" s="23" t="n">
        <v>6</v>
      </c>
      <c r="F64" s="26" t="n">
        <v>0.1111111111111111</v>
      </c>
      <c r="G64" s="23" t="n">
        <v>41</v>
      </c>
      <c r="H64" s="26" t="n">
        <v>0.7592592592592593</v>
      </c>
      <c r="I64" s="32" t="n">
        <v>137.9216933760684</v>
      </c>
      <c r="J64" s="32" t="n">
        <v>78.68497685185186</v>
      </c>
      <c r="K64" s="41" t="inlineStr">
        <is>
          <t>0–376</t>
        </is>
      </c>
    </row>
    <row r="65">
      <c r="A65" s="24" t="inlineStr">
        <is>
          <t>The Jackson Clinic</t>
        </is>
      </c>
      <c r="B65" s="25" t="n">
        <v>53</v>
      </c>
      <c r="C65" s="25" t="n">
        <v>8</v>
      </c>
      <c r="D65" s="27" t="n">
        <v>0.1509433962264151</v>
      </c>
      <c r="E65" s="25" t="n">
        <v>1</v>
      </c>
      <c r="F65" s="27" t="n">
        <v>0.01886792452830189</v>
      </c>
      <c r="G65" s="25" t="n">
        <v>44</v>
      </c>
      <c r="H65" s="27" t="n">
        <v>0.8301886792452831</v>
      </c>
      <c r="I65" s="34" t="n">
        <v>200.9479372427984</v>
      </c>
      <c r="J65" s="34" t="n">
        <v>102.1266319444444</v>
      </c>
      <c r="K65" s="40" t="inlineStr">
        <is>
          <t>0–547</t>
        </is>
      </c>
    </row>
    <row r="66">
      <c r="A66" s="22" t="inlineStr">
        <is>
          <t>Univ. of Florida Jacksonville</t>
        </is>
      </c>
      <c r="B66" s="23" t="n">
        <v>37</v>
      </c>
      <c r="C66" s="23" t="n">
        <v>2</v>
      </c>
      <c r="D66" s="26" t="n">
        <v>0.05405405405405406</v>
      </c>
      <c r="E66" s="23" t="n">
        <v>0</v>
      </c>
      <c r="F66" s="26" t="n">
        <v>0</v>
      </c>
      <c r="G66" s="23" t="n">
        <v>35</v>
      </c>
      <c r="H66" s="26" t="n">
        <v>0.9459459459459459</v>
      </c>
      <c r="I66" s="32" t="n">
        <v>37.05248263888889</v>
      </c>
      <c r="J66" s="32" t="n">
        <v>37.05248263888889</v>
      </c>
      <c r="K66" s="41" t="inlineStr">
        <is>
          <t>3–71</t>
        </is>
      </c>
    </row>
    <row r="67">
      <c r="A67" s="24" t="inlineStr">
        <is>
          <t>Vast Clinical Research</t>
        </is>
      </c>
      <c r="B67" s="25" t="n">
        <v>23</v>
      </c>
      <c r="C67" s="25" t="n">
        <v>5</v>
      </c>
      <c r="D67" s="27" t="n">
        <v>0.2173913043478261</v>
      </c>
      <c r="E67" s="25" t="n">
        <v>0</v>
      </c>
      <c r="F67" s="27" t="n">
        <v>0</v>
      </c>
      <c r="G67" s="25" t="n">
        <v>18</v>
      </c>
      <c r="H67" s="27" t="n">
        <v>0.7826086956521739</v>
      </c>
      <c r="I67" s="34" t="n">
        <v>537.7301712962962</v>
      </c>
      <c r="J67" s="34" t="n">
        <v>627.8354398148148</v>
      </c>
      <c r="K67" s="40" t="inlineStr">
        <is>
          <t>262–673</t>
        </is>
      </c>
    </row>
    <row r="68">
      <c r="A68" s="22" t="inlineStr">
        <is>
          <t>Velocity Clinical Research</t>
        </is>
      </c>
      <c r="B68" s="23" t="n">
        <v>44</v>
      </c>
      <c r="C68" s="23" t="n">
        <v>10</v>
      </c>
      <c r="D68" s="26" t="n">
        <v>0.2272727272727273</v>
      </c>
      <c r="E68" s="23" t="n">
        <v>0</v>
      </c>
      <c r="F68" s="26" t="n">
        <v>0</v>
      </c>
      <c r="G68" s="23" t="n">
        <v>34</v>
      </c>
      <c r="H68" s="26" t="n">
        <v>0.7727272727272727</v>
      </c>
      <c r="I68" s="32" t="n">
        <v>143.7441689814815</v>
      </c>
      <c r="J68" s="32" t="n">
        <v>81.67710069444445</v>
      </c>
      <c r="K68" s="41" t="inlineStr">
        <is>
          <t>5–420</t>
        </is>
      </c>
    </row>
    <row r="69">
      <c r="A69" s="24" t="inlineStr">
        <is>
          <t>Virginia Women's Health Associates</t>
        </is>
      </c>
      <c r="B69" s="25" t="n">
        <v>24</v>
      </c>
      <c r="C69" s="25" t="n">
        <v>1</v>
      </c>
      <c r="D69" s="27" t="n">
        <v>0.04166666666666666</v>
      </c>
      <c r="E69" s="25" t="n">
        <v>1</v>
      </c>
      <c r="F69" s="27" t="n">
        <v>0.04166666666666666</v>
      </c>
      <c r="G69" s="25" t="n">
        <v>22</v>
      </c>
      <c r="H69" s="27" t="n">
        <v>0.9166666666666666</v>
      </c>
      <c r="I69" s="34" t="n">
        <v>309.4926909722222</v>
      </c>
      <c r="J69" s="34" t="n">
        <v>309.4926909722222</v>
      </c>
      <c r="K69" s="40" t="inlineStr">
        <is>
          <t>202–417</t>
        </is>
      </c>
    </row>
    <row r="70">
      <c r="A70" s="22" t="inlineStr">
        <is>
          <t>Women's Center of Nevada</t>
        </is>
      </c>
      <c r="B70" s="23" t="n">
        <v>97</v>
      </c>
      <c r="C70" s="23" t="n">
        <v>11</v>
      </c>
      <c r="D70" s="26" t="n">
        <v>0.1134020618556701</v>
      </c>
      <c r="E70" s="23" t="n">
        <v>10</v>
      </c>
      <c r="F70" s="26" t="n">
        <v>0.1030927835051546</v>
      </c>
      <c r="G70" s="23" t="n">
        <v>76</v>
      </c>
      <c r="H70" s="26" t="n">
        <v>0.7835051546391752</v>
      </c>
      <c r="I70" s="32" t="n">
        <v>108.9315443121693</v>
      </c>
      <c r="J70" s="32" t="n">
        <v>41.45936342592593</v>
      </c>
      <c r="K70" s="41" t="inlineStr">
        <is>
          <t>1–436</t>
        </is>
      </c>
    </row>
    <row r="71">
      <c r="A71" s="24" t="inlineStr">
        <is>
          <t>Women's Health Pavilion</t>
        </is>
      </c>
      <c r="B71" s="25" t="n">
        <v>15</v>
      </c>
      <c r="C71" s="25" t="n">
        <v>2</v>
      </c>
      <c r="D71" s="27" t="n">
        <v>0.1333333333333333</v>
      </c>
      <c r="E71" s="25" t="n">
        <v>1</v>
      </c>
      <c r="F71" s="27" t="n">
        <v>0.06666666666666667</v>
      </c>
      <c r="G71" s="25" t="n">
        <v>12</v>
      </c>
      <c r="H71" s="27" t="n">
        <v>0.8</v>
      </c>
      <c r="I71" s="34" t="n">
        <v>140.1611805555556</v>
      </c>
      <c r="J71" s="34" t="n">
        <v>143.0738425925926</v>
      </c>
      <c r="K71" s="40" t="inlineStr">
        <is>
          <t>124–154</t>
        </is>
      </c>
    </row>
    <row r="72">
      <c r="A72" s="28" t="inlineStr">
        <is>
          <t>All</t>
        </is>
      </c>
      <c r="B72" s="29" t="n">
        <v>1004</v>
      </c>
      <c r="C72" s="29" t="n">
        <v>129</v>
      </c>
      <c r="D72" s="30" t="n">
        <v>0.1284860557768924</v>
      </c>
      <c r="E72" s="29" t="n">
        <v>52</v>
      </c>
      <c r="F72" s="30" t="n">
        <v>0.05179282868525897</v>
      </c>
      <c r="G72" s="29" t="n">
        <v>823</v>
      </c>
      <c r="H72" s="30" t="n">
        <v>0.8197211155378487</v>
      </c>
      <c r="I72" s="39" t="n">
        <v>157.8314070493145</v>
      </c>
      <c r="J72" s="39" t="n">
        <v>97.23848379629629</v>
      </c>
      <c r="K72" s="42" t="inlineStr">
        <is>
          <t>0–673</t>
        </is>
      </c>
    </row>
    <row r="75">
      <c r="A75" s="4" t="inlineStr">
        <is>
          <t>Queries by type</t>
        </is>
      </c>
    </row>
    <row r="76" ht="13" customHeight="1">
      <c r="A76" s="19" t="inlineStr">
        <is>
          <t>Percentages use the group's total queries. Days open covers open and reviewing queries.</t>
        </is>
      </c>
    </row>
    <row r="77" ht="32" customHeight="1">
      <c r="A77" s="20" t="inlineStr">
        <is>
          <t>Query type</t>
        </is>
      </c>
      <c r="B77" s="21" t="inlineStr">
        <is>
          <t>Total</t>
        </is>
      </c>
      <c r="C77" s="21" t="inlineStr">
        <is>
          <t>Open</t>
        </is>
      </c>
      <c r="D77" s="21" t="inlineStr">
        <is>
          <t>% open</t>
        </is>
      </c>
      <c r="E77" s="21" t="inlineStr">
        <is>
          <t>Reviewing</t>
        </is>
      </c>
      <c r="F77" s="21" t="inlineStr">
        <is>
          <t>% reviewing</t>
        </is>
      </c>
      <c r="G77" s="21" t="inlineStr">
        <is>
          <t>Closed</t>
        </is>
      </c>
      <c r="H77" s="21" t="inlineStr">
        <is>
          <t>% closed</t>
        </is>
      </c>
      <c r="I77" s="21" t="inlineStr">
        <is>
          <t>Mean days open</t>
        </is>
      </c>
      <c r="J77" s="21" t="inlineStr">
        <is>
          <t>Median days open</t>
        </is>
      </c>
      <c r="K77" s="21" t="inlineStr">
        <is>
          <t>Range of days open</t>
        </is>
      </c>
    </row>
    <row r="78">
      <c r="A78" s="22" t="inlineStr">
        <is>
          <t>Missing Data</t>
        </is>
      </c>
      <c r="B78" s="23" t="n">
        <v>773</v>
      </c>
      <c r="C78" s="23" t="n">
        <v>102</v>
      </c>
      <c r="D78" s="26" t="n">
        <v>0.1319534282018111</v>
      </c>
      <c r="E78" s="23" t="n">
        <v>35</v>
      </c>
      <c r="F78" s="26" t="n">
        <v>0.04527813712807244</v>
      </c>
      <c r="G78" s="23" t="n">
        <v>636</v>
      </c>
      <c r="H78" s="26" t="n">
        <v>0.8227684346701164</v>
      </c>
      <c r="I78" s="32" t="n">
        <v>137.9304037408759</v>
      </c>
      <c r="J78" s="32" t="n">
        <v>83.70975694444445</v>
      </c>
      <c r="K78" s="41" t="inlineStr">
        <is>
          <t>0–651</t>
        </is>
      </c>
    </row>
    <row r="79">
      <c r="A79" s="24" t="inlineStr">
        <is>
          <t>Standard</t>
        </is>
      </c>
      <c r="B79" s="25" t="n">
        <v>231</v>
      </c>
      <c r="C79" s="25" t="n">
        <v>27</v>
      </c>
      <c r="D79" s="27" t="n">
        <v>0.1168831168831169</v>
      </c>
      <c r="E79" s="25" t="n">
        <v>17</v>
      </c>
      <c r="F79" s="27" t="n">
        <v>0.0735930735930736</v>
      </c>
      <c r="G79" s="25" t="n">
        <v>187</v>
      </c>
      <c r="H79" s="27" t="n">
        <v>0.8095238095238095</v>
      </c>
      <c r="I79" s="34" t="n">
        <v>219.7958946233165</v>
      </c>
      <c r="J79" s="34" t="n">
        <v>179.1168634259259</v>
      </c>
      <c r="K79" s="40" t="inlineStr">
        <is>
          <t>1–673</t>
        </is>
      </c>
    </row>
    <row r="80">
      <c r="A80" s="28" t="inlineStr">
        <is>
          <t>All</t>
        </is>
      </c>
      <c r="B80" s="29" t="n">
        <v>1004</v>
      </c>
      <c r="C80" s="29" t="n">
        <v>129</v>
      </c>
      <c r="D80" s="30" t="n">
        <v>0.1284860557768924</v>
      </c>
      <c r="E80" s="29" t="n">
        <v>52</v>
      </c>
      <c r="F80" s="30" t="n">
        <v>0.05179282868525897</v>
      </c>
      <c r="G80" s="29" t="n">
        <v>823</v>
      </c>
      <c r="H80" s="30" t="n">
        <v>0.8197211155378487</v>
      </c>
      <c r="I80" s="39" t="n">
        <v>157.8314070493145</v>
      </c>
      <c r="J80" s="39" t="n">
        <v>97.23848379629629</v>
      </c>
      <c r="K80" s="42" t="inlineStr">
        <is>
          <t>0–673</t>
        </is>
      </c>
    </row>
    <row r="83">
      <c r="A83" s="4" t="inlineStr">
        <is>
          <t>Queries by form</t>
        </is>
      </c>
    </row>
    <row r="84" ht="13" customHeight="1">
      <c r="A84" s="19" t="inlineStr">
        <is>
          <t>Percentages use the group's total queries. Days open covers open and reviewing queries.</t>
        </is>
      </c>
    </row>
    <row r="85" ht="32" customHeight="1">
      <c r="A85" s="20" t="inlineStr">
        <is>
          <t>Form</t>
        </is>
      </c>
      <c r="B85" s="21" t="inlineStr">
        <is>
          <t>Total</t>
        </is>
      </c>
      <c r="C85" s="21" t="inlineStr">
        <is>
          <t>Open</t>
        </is>
      </c>
      <c r="D85" s="21" t="inlineStr">
        <is>
          <t>% open</t>
        </is>
      </c>
      <c r="E85" s="21" t="inlineStr">
        <is>
          <t>Reviewing</t>
        </is>
      </c>
      <c r="F85" s="21" t="inlineStr">
        <is>
          <t>% reviewing</t>
        </is>
      </c>
      <c r="G85" s="21" t="inlineStr">
        <is>
          <t>Closed</t>
        </is>
      </c>
      <c r="H85" s="21" t="inlineStr">
        <is>
          <t>% closed</t>
        </is>
      </c>
      <c r="I85" s="21" t="inlineStr">
        <is>
          <t>Mean days open</t>
        </is>
      </c>
      <c r="J85" s="21" t="inlineStr">
        <is>
          <t>Median days open</t>
        </is>
      </c>
      <c r="K85" s="21" t="inlineStr">
        <is>
          <t>Range of days open</t>
        </is>
      </c>
    </row>
    <row r="86">
      <c r="A86" s="22" t="inlineStr">
        <is>
          <t>Adverse Events</t>
        </is>
      </c>
      <c r="B86" s="23" t="n">
        <v>64</v>
      </c>
      <c r="C86" s="23" t="n">
        <v>11</v>
      </c>
      <c r="D86" s="26" t="n">
        <v>0.171875</v>
      </c>
      <c r="E86" s="23" t="n">
        <v>5</v>
      </c>
      <c r="F86" s="26" t="n">
        <v>0.078125</v>
      </c>
      <c r="G86" s="23" t="n">
        <v>48</v>
      </c>
      <c r="H86" s="26" t="n">
        <v>0.75</v>
      </c>
      <c r="I86" s="32" t="n">
        <v>206.5235611979167</v>
      </c>
      <c r="J86" s="32" t="n">
        <v>172.2151851851852</v>
      </c>
      <c r="K86" s="41" t="inlineStr">
        <is>
          <t>5–598</t>
        </is>
      </c>
    </row>
    <row r="87">
      <c r="A87" s="24" t="inlineStr">
        <is>
          <t>CA 125 Test, Pre-Surgery</t>
        </is>
      </c>
      <c r="B87" s="25" t="n">
        <v>140</v>
      </c>
      <c r="C87" s="25" t="n">
        <v>13</v>
      </c>
      <c r="D87" s="27" t="n">
        <v>0.09285714285714286</v>
      </c>
      <c r="E87" s="25" t="n">
        <v>7</v>
      </c>
      <c r="F87" s="27" t="n">
        <v>0.05</v>
      </c>
      <c r="G87" s="25" t="n">
        <v>120</v>
      </c>
      <c r="H87" s="27" t="n">
        <v>0.8571428571428571</v>
      </c>
      <c r="I87" s="34" t="n">
        <v>175.6995549768519</v>
      </c>
      <c r="J87" s="34" t="n">
        <v>30.10673032407407</v>
      </c>
      <c r="K87" s="40" t="inlineStr">
        <is>
          <t>10–651</t>
        </is>
      </c>
    </row>
    <row r="88">
      <c r="A88" s="22" t="inlineStr">
        <is>
          <t>Enrollment</t>
        </is>
      </c>
      <c r="B88" s="23" t="n">
        <v>62</v>
      </c>
      <c r="C88" s="23" t="n">
        <v>6</v>
      </c>
      <c r="D88" s="26" t="n">
        <v>0.09677419354838709</v>
      </c>
      <c r="E88" s="23" t="n">
        <v>4</v>
      </c>
      <c r="F88" s="26" t="n">
        <v>0.06451612903225806</v>
      </c>
      <c r="G88" s="23" t="n">
        <v>52</v>
      </c>
      <c r="H88" s="26" t="n">
        <v>0.8387096774193549</v>
      </c>
      <c r="I88" s="32" t="n">
        <v>158.1138611111111</v>
      </c>
      <c r="J88" s="32" t="n">
        <v>140.3736805555556</v>
      </c>
      <c r="K88" s="41" t="inlineStr">
        <is>
          <t>1–417</t>
        </is>
      </c>
    </row>
    <row r="89">
      <c r="A89" s="24" t="inlineStr">
        <is>
          <t>Exclusion Criteria</t>
        </is>
      </c>
      <c r="B89" s="25" t="n">
        <v>80</v>
      </c>
      <c r="C89" s="25" t="n">
        <v>13</v>
      </c>
      <c r="D89" s="27" t="n">
        <v>0.1625</v>
      </c>
      <c r="E89" s="25" t="n">
        <v>2</v>
      </c>
      <c r="F89" s="27" t="n">
        <v>0.025</v>
      </c>
      <c r="G89" s="25" t="n">
        <v>65</v>
      </c>
      <c r="H89" s="27" t="n">
        <v>0.8125</v>
      </c>
      <c r="I89" s="34" t="n">
        <v>119.334486882716</v>
      </c>
      <c r="J89" s="34" t="n">
        <v>72.02385416666667</v>
      </c>
      <c r="K89" s="40" t="inlineStr">
        <is>
          <t>0–488</t>
        </is>
      </c>
    </row>
    <row r="90">
      <c r="A90" s="22" t="inlineStr">
        <is>
          <t>Health Information Collection</t>
        </is>
      </c>
      <c r="B90" s="23" t="n">
        <v>145</v>
      </c>
      <c r="C90" s="23" t="n">
        <v>16</v>
      </c>
      <c r="D90" s="26" t="n">
        <v>0.1103448275862069</v>
      </c>
      <c r="E90" s="23" t="n">
        <v>8</v>
      </c>
      <c r="F90" s="26" t="n">
        <v>0.05517241379310345</v>
      </c>
      <c r="G90" s="23" t="n">
        <v>121</v>
      </c>
      <c r="H90" s="26" t="n">
        <v>0.8344827586206897</v>
      </c>
      <c r="I90" s="32" t="n">
        <v>143.0579132908951</v>
      </c>
      <c r="J90" s="32" t="n">
        <v>91.91667245370371</v>
      </c>
      <c r="K90" s="41" t="inlineStr">
        <is>
          <t>0–546</t>
        </is>
      </c>
    </row>
    <row r="91">
      <c r="A91" s="24" t="inlineStr">
        <is>
          <t>Inclusion Criteria</t>
        </is>
      </c>
      <c r="B91" s="25" t="n">
        <v>75</v>
      </c>
      <c r="C91" s="25" t="n">
        <v>11</v>
      </c>
      <c r="D91" s="27" t="n">
        <v>0.1466666666666667</v>
      </c>
      <c r="E91" s="25" t="n">
        <v>2</v>
      </c>
      <c r="F91" s="27" t="n">
        <v>0.02666666666666667</v>
      </c>
      <c r="G91" s="25" t="n">
        <v>62</v>
      </c>
      <c r="H91" s="27" t="n">
        <v>0.8266666666666667</v>
      </c>
      <c r="I91" s="34" t="n">
        <v>205.5615402421653</v>
      </c>
      <c r="J91" s="34" t="n">
        <v>152.3705092592593</v>
      </c>
      <c r="K91" s="40" t="inlineStr">
        <is>
          <t>1–628</t>
        </is>
      </c>
    </row>
    <row r="92">
      <c r="A92" s="22" t="inlineStr">
        <is>
          <t>Informed Consent</t>
        </is>
      </c>
      <c r="B92" s="23" t="n">
        <v>74</v>
      </c>
      <c r="C92" s="23" t="n">
        <v>14</v>
      </c>
      <c r="D92" s="26" t="n">
        <v>0.1891891891891892</v>
      </c>
      <c r="E92" s="23" t="n">
        <v>4</v>
      </c>
      <c r="F92" s="26" t="n">
        <v>0.05405405405405406</v>
      </c>
      <c r="G92" s="23" t="n">
        <v>56</v>
      </c>
      <c r="H92" s="26" t="n">
        <v>0.7567567567567568</v>
      </c>
      <c r="I92" s="32" t="n">
        <v>208.4389615483539</v>
      </c>
      <c r="J92" s="32" t="n">
        <v>234.9510706018519</v>
      </c>
      <c r="K92" s="41" t="inlineStr">
        <is>
          <t>1–547</t>
        </is>
      </c>
    </row>
    <row r="93">
      <c r="A93" s="24" t="inlineStr">
        <is>
          <t>Medical History</t>
        </is>
      </c>
      <c r="B93" s="25" t="n">
        <v>65</v>
      </c>
      <c r="C93" s="25" t="n">
        <v>13</v>
      </c>
      <c r="D93" s="27" t="n">
        <v>0.2</v>
      </c>
      <c r="E93" s="25" t="n">
        <v>3</v>
      </c>
      <c r="F93" s="27" t="n">
        <v>0.04615384615384616</v>
      </c>
      <c r="G93" s="25" t="n">
        <v>49</v>
      </c>
      <c r="H93" s="27" t="n">
        <v>0.7538461538461538</v>
      </c>
      <c r="I93" s="34" t="n">
        <v>57.52251736111111</v>
      </c>
      <c r="J93" s="34" t="n">
        <v>15.82221643518518</v>
      </c>
      <c r="K93" s="40" t="inlineStr">
        <is>
          <t>0–212</t>
        </is>
      </c>
    </row>
    <row r="94">
      <c r="A94" s="22" t="inlineStr">
        <is>
          <t>Post-Surgical Findings</t>
        </is>
      </c>
      <c r="B94" s="23" t="n">
        <v>116</v>
      </c>
      <c r="C94" s="23" t="n">
        <v>19</v>
      </c>
      <c r="D94" s="26" t="n">
        <v>0.1637931034482759</v>
      </c>
      <c r="E94" s="23" t="n">
        <v>4</v>
      </c>
      <c r="F94" s="26" t="n">
        <v>0.03448275862068965</v>
      </c>
      <c r="G94" s="23" t="n">
        <v>93</v>
      </c>
      <c r="H94" s="26" t="n">
        <v>0.8017241379310345</v>
      </c>
      <c r="I94" s="32" t="n">
        <v>139.8361725040258</v>
      </c>
      <c r="J94" s="32" t="n">
        <v>114.1775</v>
      </c>
      <c r="K94" s="41" t="inlineStr">
        <is>
          <t>3–396</t>
        </is>
      </c>
    </row>
    <row r="95">
      <c r="A95" s="24" t="inlineStr">
        <is>
          <t>Protocol Deviations</t>
        </is>
      </c>
      <c r="B95" s="25" t="n">
        <v>62</v>
      </c>
      <c r="C95" s="25" t="n">
        <v>5</v>
      </c>
      <c r="D95" s="27" t="n">
        <v>0.08064516129032258</v>
      </c>
      <c r="E95" s="25" t="n">
        <v>2</v>
      </c>
      <c r="F95" s="27" t="n">
        <v>0.03225806451612903</v>
      </c>
      <c r="G95" s="25" t="n">
        <v>55</v>
      </c>
      <c r="H95" s="27" t="n">
        <v>0.8870967741935484</v>
      </c>
      <c r="I95" s="34" t="n">
        <v>114.8993601190476</v>
      </c>
      <c r="J95" s="34" t="n">
        <v>21.67081018518519</v>
      </c>
      <c r="K95" s="40" t="inlineStr">
        <is>
          <t>1–619</t>
        </is>
      </c>
    </row>
    <row r="96">
      <c r="A96" s="22" t="inlineStr">
        <is>
          <t>Study Blood Sample Collection &amp; Processing</t>
        </is>
      </c>
      <c r="B96" s="23" t="n">
        <v>63</v>
      </c>
      <c r="C96" s="23" t="n">
        <v>5</v>
      </c>
      <c r="D96" s="26" t="n">
        <v>0.07936507936507936</v>
      </c>
      <c r="E96" s="23" t="n">
        <v>10</v>
      </c>
      <c r="F96" s="26" t="n">
        <v>0.1587301587301587</v>
      </c>
      <c r="G96" s="23" t="n">
        <v>48</v>
      </c>
      <c r="H96" s="26" t="n">
        <v>0.7619047619047619</v>
      </c>
      <c r="I96" s="32" t="n">
        <v>188.0116697530864</v>
      </c>
      <c r="J96" s="32" t="n">
        <v>103.3820486111111</v>
      </c>
      <c r="K96" s="41" t="inlineStr">
        <is>
          <t>11–673</t>
        </is>
      </c>
    </row>
    <row r="97">
      <c r="A97" s="24" t="inlineStr">
        <is>
          <t>Study Completion</t>
        </is>
      </c>
      <c r="B97" s="25" t="n">
        <v>58</v>
      </c>
      <c r="C97" s="25" t="n">
        <v>3</v>
      </c>
      <c r="D97" s="27" t="n">
        <v>0.05172413793103448</v>
      </c>
      <c r="E97" s="25" t="n">
        <v>1</v>
      </c>
      <c r="F97" s="27" t="n">
        <v>0.01724137931034483</v>
      </c>
      <c r="G97" s="25" t="n">
        <v>54</v>
      </c>
      <c r="H97" s="27" t="n">
        <v>0.9310344827586207</v>
      </c>
      <c r="I97" s="34" t="n">
        <v>189.8266550925926</v>
      </c>
      <c r="J97" s="34" t="n">
        <v>161.0265104166667</v>
      </c>
      <c r="K97" s="40" t="inlineStr">
        <is>
          <t>65–372</t>
        </is>
      </c>
    </row>
    <row r="98">
      <c r="A98" s="28" t="inlineStr">
        <is>
          <t>All</t>
        </is>
      </c>
      <c r="B98" s="29" t="n">
        <v>1004</v>
      </c>
      <c r="C98" s="29" t="n">
        <v>129</v>
      </c>
      <c r="D98" s="30" t="n">
        <v>0.1284860557768924</v>
      </c>
      <c r="E98" s="29" t="n">
        <v>52</v>
      </c>
      <c r="F98" s="30" t="n">
        <v>0.05179282868525897</v>
      </c>
      <c r="G98" s="29" t="n">
        <v>823</v>
      </c>
      <c r="H98" s="30" t="n">
        <v>0.8197211155378487</v>
      </c>
      <c r="I98" s="39" t="n">
        <v>157.8314070493145</v>
      </c>
      <c r="J98" s="39" t="n">
        <v>97.23848379629629</v>
      </c>
      <c r="K98" s="42" t="inlineStr">
        <is>
          <t>0–673</t>
        </is>
      </c>
    </row>
  </sheetData>
  <mergeCells count="5">
    <mergeCell ref="A48:K48"/>
    <mergeCell ref="A5:F5"/>
    <mergeCell ref="A40:F40"/>
    <mergeCell ref="A84:K84"/>
    <mergeCell ref="A76:K76"/>
  </mergeCells>
  <conditionalFormatting sqref="C7:C13">
    <cfRule type="dataBar" priority="1">
      <dataBar showValue="1">
        <cfvo type="num" val="0"/>
        <cfvo type="num" val="1"/>
        <color rgb="0086B6EF"/>
      </dataBar>
    </cfRule>
  </conditionalFormatting>
  <conditionalFormatting sqref="D50:D71">
    <cfRule type="dataBar" priority="2">
      <dataBar showValue="1">
        <cfvo type="num" val="0"/>
        <cfvo type="num" val="1"/>
        <color rgb="0086B6EF"/>
      </dataBar>
    </cfRule>
  </conditionalFormatting>
  <conditionalFormatting sqref="F50:F71">
    <cfRule type="dataBar" priority="3">
      <dataBar showValue="1">
        <cfvo type="num" val="0"/>
        <cfvo type="num" val="1"/>
        <color rgb="0086B6EF"/>
      </dataBar>
    </cfRule>
  </conditionalFormatting>
  <conditionalFormatting sqref="H50:H71">
    <cfRule type="dataBar" priority="4">
      <dataBar showValue="1">
        <cfvo type="num" val="0"/>
        <cfvo type="num" val="1"/>
        <color rgb="0086B6EF"/>
      </dataBar>
    </cfRule>
  </conditionalFormatting>
  <conditionalFormatting sqref="D78:D79">
    <cfRule type="dataBar" priority="5">
      <dataBar showValue="1">
        <cfvo type="num" val="0"/>
        <cfvo type="num" val="1"/>
        <color rgb="0086B6EF"/>
      </dataBar>
    </cfRule>
  </conditionalFormatting>
  <conditionalFormatting sqref="F78:F79">
    <cfRule type="dataBar" priority="6">
      <dataBar showValue="1">
        <cfvo type="num" val="0"/>
        <cfvo type="num" val="1"/>
        <color rgb="0086B6EF"/>
      </dataBar>
    </cfRule>
  </conditionalFormatting>
  <conditionalFormatting sqref="H78:H79">
    <cfRule type="dataBar" priority="7">
      <dataBar showValue="1">
        <cfvo type="num" val="0"/>
        <cfvo type="num" val="1"/>
        <color rgb="0086B6EF"/>
      </dataBar>
    </cfRule>
  </conditionalFormatting>
  <conditionalFormatting sqref="D86:D97">
    <cfRule type="dataBar" priority="8">
      <dataBar showValue="1">
        <cfvo type="num" val="0"/>
        <cfvo type="num" val="1"/>
        <color rgb="0086B6EF"/>
      </dataBar>
    </cfRule>
  </conditionalFormatting>
  <conditionalFormatting sqref="F86:F97">
    <cfRule type="dataBar" priority="9">
      <dataBar showValue="1">
        <cfvo type="num" val="0"/>
        <cfvo type="num" val="1"/>
        <color rgb="0086B6EF"/>
      </dataBar>
    </cfRule>
  </conditionalFormatting>
  <conditionalFormatting sqref="H86:H97">
    <cfRule type="dataBar" priority="10">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B15"/>
  <sheetViews>
    <sheetView showGridLines="0" zoomScale="100" workbookViewId="0">
      <selection activeCell="A1" sqref="A1"/>
    </sheetView>
  </sheetViews>
  <sheetFormatPr baseColWidth="8" defaultRowHeight="15"/>
  <cols>
    <col width="28" customWidth="1" min="1" max="1"/>
    <col width="100" customWidth="1" min="2" max="2"/>
  </cols>
  <sheetData>
    <row r="1" ht="24" customHeight="1">
      <c r="A1" s="1" t="inlineStr">
        <is>
          <t>Definitions and sources</t>
        </is>
      </c>
    </row>
    <row r="2">
      <c r="A2" s="2" t="inlineStr">
        <is>
          <t>Reporting month July 2026 · Data to 31 Jul 2026 · Citrus export 03 Aug 2026 13:57 UTC · Inventory report 03AUG2026</t>
        </is>
      </c>
    </row>
    <row r="4" ht="15" customHeight="1">
      <c r="A4" s="43" t="inlineStr">
        <is>
          <t>Reporting month</t>
        </is>
      </c>
      <c r="B4" s="17" t="inlineStr">
        <is>
          <t>July 2026. Month counts use events dated 1 to 31 July 2026 (UTC).</t>
        </is>
      </c>
    </row>
    <row r="5" ht="15" customHeight="1">
      <c r="A5" s="43" t="inlineStr">
        <is>
          <t>To date</t>
        </is>
      </c>
      <c r="B5" s="17" t="inlineStr">
        <is>
          <t>All events up to the end of 31 July 2026.</t>
        </is>
      </c>
    </row>
    <row r="6" ht="30" customHeight="1">
      <c r="A6" s="43" t="inlineStr">
        <is>
          <t>Sources</t>
        </is>
      </c>
      <c r="B6" s="17" t="inlineStr">
        <is>
          <t>Citrus exports from 03 Aug 2026 13:57 UTC. LabConnect inventory report dated 03AUG2026. Site lookup table for site type and activation date.</t>
        </is>
      </c>
    </row>
    <row r="7" ht="30" customHeight="1">
      <c r="A7" s="43" t="inlineStr">
        <is>
          <t>Weeks</t>
        </is>
      </c>
      <c r="B7" s="17" t="inlineStr">
        <is>
          <t>Monday to Sunday. Part weeks at the start or end of the month count only days inside the month.</t>
        </is>
      </c>
    </row>
    <row r="8" ht="45" customHeight="1">
      <c r="A8" s="43" t="inlineStr">
        <is>
          <t>Enrollment rate</t>
        </is>
      </c>
      <c r="B8" s="17" t="inlineStr">
        <is>
          <t>Per site per week = enrollments in the month ÷ 4.43 weeks. Per site per month = enrollments in the month. The 'per active site' rates divide by the number of sites activated by month end. Per month since activation = enrolled to date ÷ months since activation.</t>
        </is>
      </c>
    </row>
    <row r="9" ht="15" customHeight="1">
      <c r="A9" s="43" t="inlineStr">
        <is>
          <t>Surgery complete</t>
        </is>
      </c>
      <c r="B9" s="17" t="inlineStr">
        <is>
          <t>A surgery date is entered on the Post-Surgical Findings form.</t>
        </is>
      </c>
    </row>
    <row r="10" ht="30" customHeight="1">
      <c r="A10" s="43" t="inlineStr">
        <is>
          <t>Pathology report uploaded</t>
        </is>
      </c>
      <c r="B10" s="17" t="inlineStr">
        <is>
          <t>The Post-Surgical Findings form is complete with a report file. The upload date is the form's 'Completed At' time.</t>
        </is>
      </c>
    </row>
    <row r="11" ht="30" customHeight="1">
      <c r="A11" s="43" t="inlineStr">
        <is>
          <t>Sample registration window</t>
        </is>
      </c>
      <c r="B11" s="17" t="inlineStr">
        <is>
          <t>DX1 within 14 days of collection. DX2 within 28 days of collection. DX1 and DX2 must be registered on different days because they ship separately.</t>
        </is>
      </c>
    </row>
    <row r="12" ht="30" customHeight="1">
      <c r="A12" s="43" t="inlineStr">
        <is>
          <t>Missing pair</t>
        </is>
      </c>
      <c r="B12" s="17" t="inlineStr">
        <is>
          <t>One sample of the pair is registered and the other is not. Overdue when the missing sample's window has passed.</t>
        </is>
      </c>
    </row>
    <row r="13" ht="15" customHeight="1">
      <c r="A13" s="43" t="inlineStr">
        <is>
          <t>Blood sample month view</t>
        </is>
      </c>
      <c r="B13" s="17" t="inlineStr">
        <is>
          <t>Counts samples registered at the central lab in the month.</t>
        </is>
      </c>
    </row>
    <row r="14" ht="30" customHeight="1">
      <c r="A14" s="43" t="inlineStr">
        <is>
          <t>Query status at month end</t>
        </is>
      </c>
      <c r="B14" s="17" t="inlineStr">
        <is>
          <t>Closed if closed by month end. Reviewing if the last update before month end moved it to review. Open otherwise.</t>
        </is>
      </c>
    </row>
    <row r="15" ht="15" customHeight="1">
      <c r="A15" s="43" t="inlineStr">
        <is>
          <t>Days open</t>
        </is>
      </c>
      <c r="B15" s="17" t="inlineStr">
        <is>
          <t>Days from query creation to the end of the month, for open and reviewing queries only.</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2026-10-28T19:06:12Z</dcterms:created>
  <dcterms:modified xmlns:dcterms="http://purl.org/dc/terms/" xmlns:xsi="http://www.w3.org/2001/XMLSchema-instance" xsi:type="dcterms:W3CDTF">2026-10-28T19:06:12Z</dcterms:modified>
</cp:coreProperties>
</file>